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633" windowHeight="9059" activeTab="2"/>
  </bookViews>
  <sheets>
    <sheet name="gp" sheetId="1" r:id="rId1"/>
    <sheet name="Sheet2" sheetId="5" r:id="rId2"/>
    <sheet name="Sheet4" sheetId="7" r:id="rId3"/>
    <sheet name="Sheet1" sheetId="4" r:id="rId4"/>
    <sheet name="Sheet3" sheetId="6" r:id="rId5"/>
    <sheet name="gi" sheetId="2" r:id="rId6"/>
    <sheet name="walkway and ladder" sheetId="3" r:id="rId7"/>
  </sheets>
  <calcPr calcId="162913"/>
</workbook>
</file>

<file path=xl/calcChain.xml><?xml version="1.0" encoding="utf-8"?>
<calcChain xmlns="http://schemas.openxmlformats.org/spreadsheetml/2006/main">
  <c r="H10" i="7" l="1"/>
  <c r="H24" i="7"/>
  <c r="H25" i="7"/>
  <c r="H26" i="7"/>
  <c r="H27" i="7"/>
  <c r="H36" i="7"/>
  <c r="H5" i="7"/>
  <c r="G6" i="7"/>
  <c r="H6" i="7" s="1"/>
  <c r="G7" i="7"/>
  <c r="H7" i="7" s="1"/>
  <c r="G8" i="7"/>
  <c r="H8" i="7" s="1"/>
  <c r="G9" i="7"/>
  <c r="H9" i="7" s="1"/>
  <c r="G10" i="7"/>
  <c r="G11" i="7"/>
  <c r="H11" i="7" s="1"/>
  <c r="G12" i="7"/>
  <c r="H12" i="7" s="1"/>
  <c r="G13" i="7"/>
  <c r="H13" i="7" s="1"/>
  <c r="G14" i="7"/>
  <c r="H14" i="7" s="1"/>
  <c r="G15" i="7"/>
  <c r="H15" i="7" s="1"/>
  <c r="G16" i="7"/>
  <c r="H16" i="7" s="1"/>
  <c r="G17" i="7"/>
  <c r="H17" i="7" s="1"/>
  <c r="G18" i="7"/>
  <c r="H18" i="7" s="1"/>
  <c r="G19" i="7"/>
  <c r="H19" i="7" s="1"/>
  <c r="G20" i="7"/>
  <c r="H20" i="7" s="1"/>
  <c r="G21" i="7"/>
  <c r="H21" i="7" s="1"/>
  <c r="G22" i="7"/>
  <c r="H22" i="7" s="1"/>
  <c r="G23" i="7"/>
  <c r="H23" i="7" s="1"/>
  <c r="G24" i="7"/>
  <c r="G25" i="7"/>
  <c r="G26" i="7"/>
  <c r="G27" i="7"/>
  <c r="G28" i="7"/>
  <c r="H28" i="7" s="1"/>
  <c r="G29" i="7"/>
  <c r="H29" i="7" s="1"/>
  <c r="G30" i="7"/>
  <c r="H30" i="7" s="1"/>
  <c r="G31" i="7"/>
  <c r="H31" i="7" s="1"/>
  <c r="G32" i="7"/>
  <c r="H32" i="7" s="1"/>
  <c r="G33" i="7"/>
  <c r="H33" i="7" s="1"/>
  <c r="G34" i="7"/>
  <c r="H34" i="7" s="1"/>
  <c r="G35" i="7"/>
  <c r="H35" i="7" s="1"/>
  <c r="G36" i="7"/>
  <c r="G5" i="7"/>
  <c r="S16" i="6"/>
  <c r="Q16" i="6"/>
  <c r="O16" i="6"/>
  <c r="M16" i="6"/>
  <c r="K16" i="6"/>
  <c r="I16" i="6"/>
  <c r="G16" i="6"/>
  <c r="E16" i="6"/>
  <c r="S6" i="6"/>
  <c r="S7" i="6"/>
  <c r="S8" i="6"/>
  <c r="S9" i="6"/>
  <c r="S10" i="6"/>
  <c r="S11" i="6"/>
  <c r="S12" i="6"/>
  <c r="S13" i="6"/>
  <c r="S14" i="6"/>
  <c r="S15" i="6"/>
  <c r="Q6" i="6"/>
  <c r="Q7" i="6"/>
  <c r="Q8" i="6"/>
  <c r="Q9" i="6"/>
  <c r="Q10" i="6"/>
  <c r="Q11" i="6"/>
  <c r="Q12" i="6"/>
  <c r="Q13" i="6"/>
  <c r="Q14" i="6"/>
  <c r="Q15" i="6"/>
  <c r="O6" i="6"/>
  <c r="O7" i="6"/>
  <c r="O8" i="6"/>
  <c r="O9" i="6"/>
  <c r="O10" i="6"/>
  <c r="O11" i="6"/>
  <c r="O12" i="6"/>
  <c r="O13" i="6"/>
  <c r="O14" i="6"/>
  <c r="O15" i="6"/>
  <c r="M6" i="6"/>
  <c r="M7" i="6"/>
  <c r="M8" i="6"/>
  <c r="M9" i="6"/>
  <c r="M10" i="6"/>
  <c r="M11" i="6"/>
  <c r="M12" i="6"/>
  <c r="M13" i="6"/>
  <c r="M14" i="6"/>
  <c r="M15" i="6"/>
  <c r="K6" i="6"/>
  <c r="K7" i="6"/>
  <c r="K8" i="6"/>
  <c r="K9" i="6"/>
  <c r="K10" i="6"/>
  <c r="K11" i="6"/>
  <c r="K12" i="6"/>
  <c r="K13" i="6"/>
  <c r="K14" i="6"/>
  <c r="K15" i="6"/>
  <c r="I6" i="6"/>
  <c r="I7" i="6"/>
  <c r="I8" i="6"/>
  <c r="I9" i="6"/>
  <c r="I10" i="6"/>
  <c r="I11" i="6"/>
  <c r="I12" i="6"/>
  <c r="I13" i="6"/>
  <c r="I14" i="6"/>
  <c r="I15" i="6"/>
  <c r="G6" i="6"/>
  <c r="G7" i="6"/>
  <c r="G8" i="6"/>
  <c r="G9" i="6"/>
  <c r="G10" i="6"/>
  <c r="G11" i="6"/>
  <c r="G12" i="6"/>
  <c r="G13" i="6"/>
  <c r="G14" i="6"/>
  <c r="G15" i="6"/>
  <c r="E6" i="6"/>
  <c r="E7" i="6"/>
  <c r="E8" i="6"/>
  <c r="E9" i="6"/>
  <c r="E10" i="6"/>
  <c r="E11" i="6"/>
  <c r="E12" i="6"/>
  <c r="E13" i="6"/>
  <c r="E14" i="6"/>
  <c r="E15" i="6"/>
  <c r="G5" i="6"/>
  <c r="E5" i="6"/>
  <c r="S5" i="6"/>
  <c r="Q5" i="6"/>
  <c r="O5" i="6"/>
  <c r="M5" i="6"/>
  <c r="K5" i="6"/>
  <c r="I5" i="6"/>
  <c r="Q11" i="5"/>
  <c r="I5" i="2"/>
  <c r="I9" i="4" l="1"/>
  <c r="E9" i="4"/>
  <c r="F23" i="3" l="1"/>
  <c r="F24" i="3"/>
  <c r="F25" i="3"/>
  <c r="F26" i="3"/>
  <c r="F27" i="3"/>
  <c r="F28" i="3"/>
  <c r="F22" i="3"/>
  <c r="F30" i="3" l="1"/>
  <c r="C32" i="3"/>
  <c r="F13" i="3"/>
  <c r="F12" i="3"/>
  <c r="F11" i="3"/>
  <c r="F10" i="3"/>
  <c r="F9" i="3"/>
  <c r="F8" i="3"/>
  <c r="F7" i="3"/>
  <c r="F6" i="3"/>
  <c r="F5" i="3"/>
  <c r="F15" i="3" l="1"/>
  <c r="D17" i="3" s="1"/>
  <c r="H34" i="2"/>
  <c r="F34" i="2"/>
  <c r="H33" i="2"/>
  <c r="F33" i="2"/>
  <c r="H16" i="2"/>
  <c r="F16" i="2"/>
  <c r="H15" i="2"/>
  <c r="F15" i="2"/>
  <c r="H34" i="1"/>
  <c r="F34" i="1"/>
  <c r="H33" i="1"/>
  <c r="F33" i="1"/>
  <c r="H16" i="1"/>
  <c r="F16" i="1"/>
  <c r="H15" i="1"/>
  <c r="F15" i="1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F4" i="2"/>
  <c r="H32" i="1"/>
  <c r="F32" i="1"/>
  <c r="H31" i="1"/>
  <c r="F31" i="1"/>
  <c r="H14" i="1"/>
  <c r="F14" i="1"/>
  <c r="H13" i="1"/>
  <c r="F13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11" i="1"/>
  <c r="H5" i="1"/>
  <c r="H6" i="1"/>
  <c r="H7" i="1"/>
  <c r="H8" i="1"/>
  <c r="H9" i="1"/>
  <c r="H10" i="1"/>
  <c r="H12" i="1"/>
  <c r="H4" i="1"/>
  <c r="F5" i="1"/>
  <c r="F6" i="1"/>
  <c r="F7" i="1"/>
  <c r="F8" i="1"/>
  <c r="F9" i="1"/>
  <c r="F10" i="1"/>
  <c r="F11" i="1"/>
  <c r="F12" i="1"/>
  <c r="F4" i="1"/>
  <c r="F17" i="1" s="1"/>
  <c r="H36" i="2" l="1"/>
  <c r="F36" i="1"/>
  <c r="F36" i="2"/>
  <c r="H36" i="1"/>
  <c r="H17" i="1"/>
  <c r="F17" i="2"/>
  <c r="H17" i="2"/>
</calcChain>
</file>

<file path=xl/sharedStrings.xml><?xml version="1.0" encoding="utf-8"?>
<sst xmlns="http://schemas.openxmlformats.org/spreadsheetml/2006/main" count="348" uniqueCount="78">
  <si>
    <t>Sl no</t>
  </si>
  <si>
    <t>Item</t>
  </si>
  <si>
    <t>Purling-1.1/2x1.1/2 rectangle tube</t>
  </si>
  <si>
    <t>Ms hole plate 4x4</t>
  </si>
  <si>
    <t>Angor bolt 8 mm</t>
  </si>
  <si>
    <t>Pvc End cap 3x1.1/2 -</t>
  </si>
  <si>
    <t>Epoxy primer</t>
  </si>
  <si>
    <t>Thinner</t>
  </si>
  <si>
    <t>Roller brush</t>
  </si>
  <si>
    <t>Required qty in nos</t>
  </si>
  <si>
    <t>Total weight</t>
  </si>
  <si>
    <t xml:space="preserve">Rate- Deemac </t>
  </si>
  <si>
    <t>Rate-Appolo</t>
  </si>
  <si>
    <t>Total- Deemac</t>
  </si>
  <si>
    <t>Total- Appolo</t>
  </si>
  <si>
    <t>TOTAL</t>
  </si>
  <si>
    <t>5KW  ENERMASS STRUCTURE RATE- GP MATERIALS</t>
  </si>
  <si>
    <t>Rafter-3x1.1/2 rectangle tube-</t>
  </si>
  <si>
    <t>3KW  ENERMASS STRUCTURE RATE- GP MATERIALS</t>
  </si>
  <si>
    <t>.5 LITER</t>
  </si>
  <si>
    <t>1 LITER</t>
  </si>
  <si>
    <t>Solid block</t>
  </si>
  <si>
    <t>Chemickal- Nano grout</t>
  </si>
  <si>
    <t>Rafter-3x1.1/2     rectangle tube-</t>
  </si>
  <si>
    <r>
      <t xml:space="preserve">Pvc End cap </t>
    </r>
    <r>
      <rPr>
        <b/>
        <sz val="10"/>
        <color theme="1"/>
        <rFont val="Calibri"/>
        <family val="2"/>
        <scheme val="minor"/>
      </rPr>
      <t>1.1/2 x 1.1/2</t>
    </r>
  </si>
  <si>
    <t>5KW  ENERMASS STRUCTURE RATE- GI MATERIALS</t>
  </si>
  <si>
    <t>3KW  ENERMASS STRUCTURE RATE- GI MATERIALS</t>
  </si>
  <si>
    <t xml:space="preserve">Rate- Appolo </t>
  </si>
  <si>
    <t xml:space="preserve">Rate-Tata </t>
  </si>
  <si>
    <t xml:space="preserve">Total- Tata </t>
  </si>
  <si>
    <t>Welding- rad</t>
  </si>
  <si>
    <t>Cutting Wheel 4"</t>
  </si>
  <si>
    <t>40 nos</t>
  </si>
  <si>
    <t>welding rad</t>
  </si>
  <si>
    <t>60 Nos</t>
  </si>
  <si>
    <t>Walkway -3x1rectangle tube-</t>
  </si>
  <si>
    <t>Walkway -1.x1. Squre tube-</t>
  </si>
  <si>
    <t>Ladder 1.1/2*1.1/2 squre tube</t>
  </si>
  <si>
    <t>Pvc End cap 3x1.</t>
  </si>
  <si>
    <t>Pvc End cap 1*1</t>
  </si>
  <si>
    <t>50 nos</t>
  </si>
  <si>
    <t>1 METER WALKWAY =5024/6</t>
  </si>
  <si>
    <t>1 METER LADDER =3234/3.6</t>
  </si>
  <si>
    <t xml:space="preserve">5KW  ENERMASS STRUCTURE SHEET ROOF LADDER RATE- GP MATERIALS </t>
  </si>
  <si>
    <t xml:space="preserve">5KW  ENERMASS STRUCTURE SHEET ROOF WALKWAY RATE- GP MATERIALS </t>
  </si>
  <si>
    <t>TOTAL--FOR 6 METER WALKWAY</t>
  </si>
  <si>
    <t>TOTAL For 3.6 meter normal</t>
  </si>
  <si>
    <t>GI</t>
  </si>
  <si>
    <t>GP</t>
  </si>
  <si>
    <t>weight per piece</t>
  </si>
  <si>
    <t>total weight</t>
  </si>
  <si>
    <t xml:space="preserve">rate </t>
  </si>
  <si>
    <t>3KW</t>
  </si>
  <si>
    <t>appolo</t>
  </si>
  <si>
    <t>tata</t>
  </si>
  <si>
    <t>Rate-Deemac</t>
  </si>
  <si>
    <t>Rate- Appolo</t>
  </si>
  <si>
    <t>5KW</t>
  </si>
  <si>
    <t>Deemac</t>
  </si>
  <si>
    <t>qty</t>
  </si>
  <si>
    <t>Rate</t>
  </si>
  <si>
    <t>per weight</t>
  </si>
  <si>
    <t>Appolo weight in KGs</t>
  </si>
  <si>
    <t>tata weight in KGs</t>
  </si>
  <si>
    <t>Deemac Weight in KGs</t>
  </si>
  <si>
    <t>3KW (6Panels)</t>
  </si>
  <si>
    <t>4KW (8 Panels)</t>
  </si>
  <si>
    <t>5KW 9 Panels</t>
  </si>
  <si>
    <t>6KW 10 Panels</t>
  </si>
  <si>
    <t>7KW 12 panels</t>
  </si>
  <si>
    <t>8KW 13 Panels</t>
  </si>
  <si>
    <t>10KW 17 PANELS</t>
  </si>
  <si>
    <t>2KW</t>
  </si>
  <si>
    <t>QTY</t>
  </si>
  <si>
    <t>price</t>
  </si>
  <si>
    <t>rate</t>
  </si>
  <si>
    <t>Total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</si>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</sst>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1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2" fontId="3" fillId="0" borderId="0" xfId="0" applyNumberFormat="1" applyFont="1"/>
    <xf numFmtId="2" fontId="3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wrapText="1"/>
    </xf>
    <xf numFmtId="0" fontId="2" fillId="0" borderId="0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6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wrapText="1"/>
    </xf>
    <xf numFmtId="0" fontId="0" fillId="0" borderId="8" xfId="0" applyFont="1" applyBorder="1" applyAlignment="1">
      <alignment horizontal="center" wrapText="1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3" xfId="0" applyFont="1" applyBorder="1"/>
    <xf numFmtId="0" fontId="0" fillId="0" borderId="14" xfId="0" applyFont="1" applyBorder="1"/>
    <xf numFmtId="0" fontId="0" fillId="0" borderId="12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6"/>
  <sheetViews>
    <sheetView topLeftCell="A2" zoomScaleNormal="100" workbookViewId="0">
      <selection activeCell="B6" sqref="B6"/>
    </sheetView>
  </sheetViews>
  <sheetFormatPr defaultRowHeight="14" x14ac:dyDescent="0.3"/>
  <cols>
    <col min="1" max="1" width="4.8984375" customWidth="1"/>
    <col min="2" max="2" width="23" customWidth="1"/>
    <col min="3" max="3" width="9.59765625" customWidth="1"/>
    <col min="4" max="4" width="10" customWidth="1"/>
    <col min="5" max="5" width="9.3984375" customWidth="1"/>
    <col min="6" max="8" width="9.8984375" customWidth="1"/>
  </cols>
  <sheetData>
    <row r="2" spans="1:8" ht="18.3" x14ac:dyDescent="0.4">
      <c r="A2" s="38" t="s">
        <v>16</v>
      </c>
      <c r="B2" s="38"/>
      <c r="C2" s="38"/>
      <c r="D2" s="38"/>
      <c r="E2" s="38"/>
      <c r="F2" s="38"/>
      <c r="G2" s="38"/>
      <c r="H2" s="38"/>
    </row>
    <row r="3" spans="1:8" ht="46.75" x14ac:dyDescent="0.3">
      <c r="A3" s="4" t="s">
        <v>0</v>
      </c>
      <c r="B3" s="4" t="s">
        <v>1</v>
      </c>
      <c r="C3" s="5" t="s">
        <v>9</v>
      </c>
      <c r="D3" s="5" t="s">
        <v>10</v>
      </c>
      <c r="E3" s="5" t="s">
        <v>11</v>
      </c>
      <c r="F3" s="5" t="s">
        <v>13</v>
      </c>
      <c r="G3" s="5" t="s">
        <v>12</v>
      </c>
      <c r="H3" s="5" t="s">
        <v>14</v>
      </c>
    </row>
    <row r="4" spans="1:8" ht="31.2" x14ac:dyDescent="0.35">
      <c r="A4" s="4">
        <v>1</v>
      </c>
      <c r="B4" s="7" t="s">
        <v>23</v>
      </c>
      <c r="C4" s="4">
        <v>3</v>
      </c>
      <c r="D4" s="4">
        <v>46.5</v>
      </c>
      <c r="E4" s="4">
        <v>81.5</v>
      </c>
      <c r="F4" s="4">
        <f>D4*E4</f>
        <v>3789.75</v>
      </c>
      <c r="G4" s="4">
        <v>85</v>
      </c>
      <c r="H4" s="4">
        <f>D4*G4</f>
        <v>3952.5</v>
      </c>
    </row>
    <row r="5" spans="1:8" ht="31.2" x14ac:dyDescent="0.35">
      <c r="A5" s="4">
        <v>2</v>
      </c>
      <c r="B5" s="8" t="s">
        <v>2</v>
      </c>
      <c r="C5" s="4">
        <v>4</v>
      </c>
      <c r="D5" s="4">
        <v>40</v>
      </c>
      <c r="E5" s="4">
        <v>81.5</v>
      </c>
      <c r="F5" s="4">
        <f t="shared" ref="F5:F16" si="0">D5*E5</f>
        <v>3260</v>
      </c>
      <c r="G5" s="4">
        <v>85</v>
      </c>
      <c r="H5" s="4">
        <f t="shared" ref="H5:H16" si="1">D5*G5</f>
        <v>3400</v>
      </c>
    </row>
    <row r="6" spans="1:8" ht="15.6" x14ac:dyDescent="0.35">
      <c r="A6" s="4">
        <v>3</v>
      </c>
      <c r="B6" s="6" t="s">
        <v>3</v>
      </c>
      <c r="C6" s="4">
        <v>7</v>
      </c>
      <c r="D6" s="4">
        <v>2.4500000000000002</v>
      </c>
      <c r="E6" s="4">
        <v>120</v>
      </c>
      <c r="F6" s="4">
        <f t="shared" si="0"/>
        <v>294</v>
      </c>
      <c r="G6" s="4">
        <v>120</v>
      </c>
      <c r="H6" s="4">
        <f t="shared" si="1"/>
        <v>294</v>
      </c>
    </row>
    <row r="7" spans="1:8" ht="15.6" x14ac:dyDescent="0.35">
      <c r="A7" s="4">
        <v>4</v>
      </c>
      <c r="B7" s="6" t="s">
        <v>4</v>
      </c>
      <c r="C7" s="4">
        <v>12</v>
      </c>
      <c r="D7" s="4">
        <v>12</v>
      </c>
      <c r="E7" s="4">
        <v>10</v>
      </c>
      <c r="F7" s="4">
        <f t="shared" si="0"/>
        <v>120</v>
      </c>
      <c r="G7" s="4">
        <v>10</v>
      </c>
      <c r="H7" s="4">
        <f t="shared" si="1"/>
        <v>120</v>
      </c>
    </row>
    <row r="8" spans="1:8" ht="15.6" x14ac:dyDescent="0.35">
      <c r="A8" s="4">
        <v>5</v>
      </c>
      <c r="B8" s="6" t="s">
        <v>5</v>
      </c>
      <c r="C8" s="4">
        <v>6</v>
      </c>
      <c r="D8" s="4">
        <v>6</v>
      </c>
      <c r="E8" s="4">
        <v>4</v>
      </c>
      <c r="F8" s="4">
        <f t="shared" si="0"/>
        <v>24</v>
      </c>
      <c r="G8" s="4">
        <v>4</v>
      </c>
      <c r="H8" s="4">
        <f t="shared" si="1"/>
        <v>24</v>
      </c>
    </row>
    <row r="9" spans="1:8" ht="15.6" x14ac:dyDescent="0.35">
      <c r="A9" s="4">
        <v>6</v>
      </c>
      <c r="B9" s="6" t="s">
        <v>24</v>
      </c>
      <c r="C9" s="4">
        <v>10</v>
      </c>
      <c r="D9" s="4">
        <v>10</v>
      </c>
      <c r="E9" s="4">
        <v>4</v>
      </c>
      <c r="F9" s="4">
        <f t="shared" si="0"/>
        <v>40</v>
      </c>
      <c r="G9" s="4">
        <v>4</v>
      </c>
      <c r="H9" s="4">
        <f t="shared" si="1"/>
        <v>40</v>
      </c>
    </row>
    <row r="10" spans="1:8" ht="15.6" x14ac:dyDescent="0.35">
      <c r="A10" s="4">
        <v>7</v>
      </c>
      <c r="B10" s="6" t="s">
        <v>6</v>
      </c>
      <c r="C10" s="4" t="s">
        <v>20</v>
      </c>
      <c r="D10" s="4">
        <v>1</v>
      </c>
      <c r="E10" s="4">
        <v>380</v>
      </c>
      <c r="F10" s="4">
        <f t="shared" si="0"/>
        <v>380</v>
      </c>
      <c r="G10" s="4">
        <v>380</v>
      </c>
      <c r="H10" s="4">
        <f t="shared" si="1"/>
        <v>380</v>
      </c>
    </row>
    <row r="11" spans="1:8" ht="15.6" x14ac:dyDescent="0.35">
      <c r="A11" s="4">
        <v>8</v>
      </c>
      <c r="B11" s="6" t="s">
        <v>7</v>
      </c>
      <c r="C11" s="4" t="s">
        <v>20</v>
      </c>
      <c r="D11" s="4">
        <v>1</v>
      </c>
      <c r="E11" s="4">
        <v>140</v>
      </c>
      <c r="F11" s="4">
        <f t="shared" si="0"/>
        <v>140</v>
      </c>
      <c r="G11" s="4">
        <v>140</v>
      </c>
      <c r="H11" s="4">
        <f>D11*G11</f>
        <v>140</v>
      </c>
    </row>
    <row r="12" spans="1:8" ht="15.6" x14ac:dyDescent="0.35">
      <c r="A12" s="4">
        <v>9</v>
      </c>
      <c r="B12" s="6" t="s">
        <v>8</v>
      </c>
      <c r="C12" s="4">
        <v>1</v>
      </c>
      <c r="D12" s="4">
        <v>1</v>
      </c>
      <c r="E12" s="4">
        <v>100</v>
      </c>
      <c r="F12" s="4">
        <f t="shared" si="0"/>
        <v>100</v>
      </c>
      <c r="G12" s="4">
        <v>100</v>
      </c>
      <c r="H12" s="4">
        <f t="shared" si="1"/>
        <v>100</v>
      </c>
    </row>
    <row r="13" spans="1:8" ht="15.6" x14ac:dyDescent="0.35">
      <c r="A13" s="4">
        <v>10</v>
      </c>
      <c r="B13" s="6" t="s">
        <v>21</v>
      </c>
      <c r="C13" s="4">
        <v>6</v>
      </c>
      <c r="D13" s="4">
        <v>6</v>
      </c>
      <c r="E13" s="4">
        <v>120</v>
      </c>
      <c r="F13" s="4">
        <f t="shared" si="0"/>
        <v>720</v>
      </c>
      <c r="G13" s="4">
        <v>120</v>
      </c>
      <c r="H13" s="4">
        <f t="shared" si="1"/>
        <v>720</v>
      </c>
    </row>
    <row r="14" spans="1:8" ht="15.6" x14ac:dyDescent="0.35">
      <c r="A14" s="4">
        <v>11</v>
      </c>
      <c r="B14" s="6" t="s">
        <v>22</v>
      </c>
      <c r="C14" s="4">
        <v>2</v>
      </c>
      <c r="D14" s="4">
        <v>2</v>
      </c>
      <c r="E14" s="4">
        <v>350</v>
      </c>
      <c r="F14" s="4">
        <f t="shared" si="0"/>
        <v>700</v>
      </c>
      <c r="G14" s="4">
        <v>350</v>
      </c>
      <c r="H14" s="4">
        <f t="shared" si="1"/>
        <v>700</v>
      </c>
    </row>
    <row r="15" spans="1:8" ht="15.6" x14ac:dyDescent="0.35">
      <c r="A15" s="4">
        <v>12</v>
      </c>
      <c r="B15" s="6" t="s">
        <v>30</v>
      </c>
      <c r="C15" s="4" t="s">
        <v>34</v>
      </c>
      <c r="D15" s="4">
        <v>60</v>
      </c>
      <c r="E15" s="4">
        <v>3</v>
      </c>
      <c r="F15" s="4">
        <f t="shared" si="0"/>
        <v>180</v>
      </c>
      <c r="G15" s="4">
        <v>3</v>
      </c>
      <c r="H15" s="4">
        <f t="shared" si="1"/>
        <v>180</v>
      </c>
    </row>
    <row r="16" spans="1:8" ht="15.6" x14ac:dyDescent="0.35">
      <c r="A16" s="10">
        <v>13</v>
      </c>
      <c r="B16" s="6" t="s">
        <v>31</v>
      </c>
      <c r="C16" s="4">
        <v>6</v>
      </c>
      <c r="D16" s="4">
        <v>6</v>
      </c>
      <c r="E16" s="4">
        <v>15</v>
      </c>
      <c r="F16" s="4">
        <f t="shared" si="0"/>
        <v>90</v>
      </c>
      <c r="G16" s="4">
        <v>15</v>
      </c>
      <c r="H16" s="4">
        <f t="shared" si="1"/>
        <v>90</v>
      </c>
    </row>
    <row r="17" spans="1:10" ht="25.55" customHeight="1" x14ac:dyDescent="0.3">
      <c r="A17" s="1"/>
      <c r="B17" s="35" t="s">
        <v>15</v>
      </c>
      <c r="C17" s="36"/>
      <c r="D17" s="36"/>
      <c r="E17" s="37"/>
      <c r="F17" s="11">
        <f>SUM(F4:F16)</f>
        <v>9837.75</v>
      </c>
      <c r="G17" s="12"/>
      <c r="H17" s="11">
        <f>SUM(H4:H16)</f>
        <v>10140.5</v>
      </c>
      <c r="J17" s="3"/>
    </row>
    <row r="20" spans="1:10" ht="18.3" x14ac:dyDescent="0.4">
      <c r="A20" s="38" t="s">
        <v>18</v>
      </c>
      <c r="B20" s="38"/>
      <c r="C20" s="38"/>
      <c r="D20" s="38"/>
      <c r="E20" s="38"/>
      <c r="F20" s="38"/>
      <c r="G20" s="38"/>
      <c r="H20" s="38"/>
    </row>
    <row r="21" spans="1:10" ht="46.75" x14ac:dyDescent="0.3">
      <c r="A21" s="4" t="s">
        <v>0</v>
      </c>
      <c r="B21" s="4" t="s">
        <v>1</v>
      </c>
      <c r="C21" s="5" t="s">
        <v>9</v>
      </c>
      <c r="D21" s="5" t="s">
        <v>10</v>
      </c>
      <c r="E21" s="5" t="s">
        <v>11</v>
      </c>
      <c r="F21" s="5" t="s">
        <v>13</v>
      </c>
      <c r="G21" s="5" t="s">
        <v>12</v>
      </c>
      <c r="H21" s="5" t="s">
        <v>14</v>
      </c>
    </row>
    <row r="22" spans="1:10" ht="31.2" x14ac:dyDescent="0.35">
      <c r="A22" s="4">
        <v>1</v>
      </c>
      <c r="B22" s="8" t="s">
        <v>17</v>
      </c>
      <c r="C22" s="4">
        <v>2</v>
      </c>
      <c r="D22" s="4">
        <v>31</v>
      </c>
      <c r="E22" s="4">
        <v>81.5</v>
      </c>
      <c r="F22" s="4">
        <f>D22*E22</f>
        <v>2526.5</v>
      </c>
      <c r="G22" s="4">
        <v>85</v>
      </c>
      <c r="H22" s="4">
        <f>D22*G22</f>
        <v>2635</v>
      </c>
    </row>
    <row r="23" spans="1:10" ht="31.2" x14ac:dyDescent="0.35">
      <c r="A23" s="4">
        <v>2</v>
      </c>
      <c r="B23" s="8" t="s">
        <v>2</v>
      </c>
      <c r="C23" s="4">
        <v>2.5</v>
      </c>
      <c r="D23" s="4">
        <v>25</v>
      </c>
      <c r="E23" s="4">
        <v>81.5</v>
      </c>
      <c r="F23" s="4">
        <f t="shared" ref="F23:F34" si="2">D23*E23</f>
        <v>2037.5</v>
      </c>
      <c r="G23" s="4">
        <v>85</v>
      </c>
      <c r="H23" s="4">
        <f t="shared" ref="H23:H28" si="3">D23*G23</f>
        <v>2125</v>
      </c>
    </row>
    <row r="24" spans="1:10" ht="15.6" x14ac:dyDescent="0.35">
      <c r="A24" s="4">
        <v>3</v>
      </c>
      <c r="B24" s="6" t="s">
        <v>3</v>
      </c>
      <c r="C24" s="4">
        <v>5</v>
      </c>
      <c r="D24" s="4">
        <v>1.75</v>
      </c>
      <c r="E24" s="4">
        <v>120</v>
      </c>
      <c r="F24" s="4">
        <f t="shared" si="2"/>
        <v>210</v>
      </c>
      <c r="G24" s="4">
        <v>120</v>
      </c>
      <c r="H24" s="4">
        <f t="shared" si="3"/>
        <v>210</v>
      </c>
    </row>
    <row r="25" spans="1:10" ht="15.6" x14ac:dyDescent="0.35">
      <c r="A25" s="4">
        <v>4</v>
      </c>
      <c r="B25" s="6" t="s">
        <v>4</v>
      </c>
      <c r="C25" s="4">
        <v>8</v>
      </c>
      <c r="D25" s="4">
        <v>8</v>
      </c>
      <c r="E25" s="4">
        <v>10</v>
      </c>
      <c r="F25" s="4">
        <f t="shared" si="2"/>
        <v>80</v>
      </c>
      <c r="G25" s="4">
        <v>10</v>
      </c>
      <c r="H25" s="4">
        <f t="shared" si="3"/>
        <v>80</v>
      </c>
    </row>
    <row r="26" spans="1:10" ht="15.6" x14ac:dyDescent="0.35">
      <c r="A26" s="4">
        <v>5</v>
      </c>
      <c r="B26" s="6" t="s">
        <v>5</v>
      </c>
      <c r="C26" s="4">
        <v>4</v>
      </c>
      <c r="D26" s="4">
        <v>4</v>
      </c>
      <c r="E26" s="4">
        <v>4</v>
      </c>
      <c r="F26" s="4">
        <f t="shared" si="2"/>
        <v>16</v>
      </c>
      <c r="G26" s="4">
        <v>4</v>
      </c>
      <c r="H26" s="4">
        <f t="shared" si="3"/>
        <v>16</v>
      </c>
    </row>
    <row r="27" spans="1:10" ht="15.6" x14ac:dyDescent="0.35">
      <c r="A27" s="4">
        <v>6</v>
      </c>
      <c r="B27" s="6" t="s">
        <v>24</v>
      </c>
      <c r="C27" s="4">
        <v>10</v>
      </c>
      <c r="D27" s="4">
        <v>10</v>
      </c>
      <c r="E27" s="4">
        <v>4</v>
      </c>
      <c r="F27" s="4">
        <f t="shared" si="2"/>
        <v>40</v>
      </c>
      <c r="G27" s="4">
        <v>4</v>
      </c>
      <c r="H27" s="4">
        <f t="shared" si="3"/>
        <v>40</v>
      </c>
    </row>
    <row r="28" spans="1:10" ht="15.6" x14ac:dyDescent="0.35">
      <c r="A28" s="4">
        <v>7</v>
      </c>
      <c r="B28" s="6" t="s">
        <v>6</v>
      </c>
      <c r="C28" s="9" t="s">
        <v>19</v>
      </c>
      <c r="D28" s="4">
        <v>0.5</v>
      </c>
      <c r="E28" s="4">
        <v>380</v>
      </c>
      <c r="F28" s="4">
        <f t="shared" si="2"/>
        <v>190</v>
      </c>
      <c r="G28" s="4">
        <v>380</v>
      </c>
      <c r="H28" s="4">
        <f t="shared" si="3"/>
        <v>190</v>
      </c>
    </row>
    <row r="29" spans="1:10" ht="15.6" x14ac:dyDescent="0.35">
      <c r="A29" s="4">
        <v>8</v>
      </c>
      <c r="B29" s="6" t="s">
        <v>7</v>
      </c>
      <c r="C29" s="4" t="s">
        <v>19</v>
      </c>
      <c r="D29" s="4">
        <v>0.5</v>
      </c>
      <c r="E29" s="4">
        <v>140</v>
      </c>
      <c r="F29" s="4">
        <f t="shared" si="2"/>
        <v>70</v>
      </c>
      <c r="G29" s="4">
        <v>140</v>
      </c>
      <c r="H29" s="4">
        <f>D29*G29</f>
        <v>70</v>
      </c>
    </row>
    <row r="30" spans="1:10" ht="15.6" x14ac:dyDescent="0.35">
      <c r="A30" s="4">
        <v>9</v>
      </c>
      <c r="B30" s="6" t="s">
        <v>8</v>
      </c>
      <c r="C30" s="4">
        <v>1</v>
      </c>
      <c r="D30" s="4">
        <v>1</v>
      </c>
      <c r="E30" s="4">
        <v>100</v>
      </c>
      <c r="F30" s="4">
        <f t="shared" si="2"/>
        <v>100</v>
      </c>
      <c r="G30" s="4">
        <v>100</v>
      </c>
      <c r="H30" s="4">
        <f t="shared" ref="H30:H34" si="4">D30*G30</f>
        <v>100</v>
      </c>
    </row>
    <row r="31" spans="1:10" ht="15.6" x14ac:dyDescent="0.35">
      <c r="A31" s="4">
        <v>10</v>
      </c>
      <c r="B31" s="6" t="s">
        <v>21</v>
      </c>
      <c r="C31" s="4">
        <v>4</v>
      </c>
      <c r="D31" s="4">
        <v>4</v>
      </c>
      <c r="E31" s="4">
        <v>120</v>
      </c>
      <c r="F31" s="4">
        <f t="shared" si="2"/>
        <v>480</v>
      </c>
      <c r="G31" s="4">
        <v>120</v>
      </c>
      <c r="H31" s="4">
        <f t="shared" si="4"/>
        <v>480</v>
      </c>
    </row>
    <row r="32" spans="1:10" ht="15.6" x14ac:dyDescent="0.35">
      <c r="A32" s="4">
        <v>11</v>
      </c>
      <c r="B32" s="6" t="s">
        <v>22</v>
      </c>
      <c r="C32" s="4">
        <v>1</v>
      </c>
      <c r="D32" s="4">
        <v>1</v>
      </c>
      <c r="E32" s="4">
        <v>350</v>
      </c>
      <c r="F32" s="4">
        <f t="shared" si="2"/>
        <v>350</v>
      </c>
      <c r="G32" s="4">
        <v>350</v>
      </c>
      <c r="H32" s="4">
        <f t="shared" si="4"/>
        <v>350</v>
      </c>
    </row>
    <row r="33" spans="1:10" ht="15.6" x14ac:dyDescent="0.35">
      <c r="A33" s="4">
        <v>12</v>
      </c>
      <c r="B33" s="6" t="s">
        <v>30</v>
      </c>
      <c r="C33" s="4" t="s">
        <v>32</v>
      </c>
      <c r="D33" s="4">
        <v>40</v>
      </c>
      <c r="E33" s="4">
        <v>3</v>
      </c>
      <c r="F33" s="4">
        <f t="shared" si="2"/>
        <v>120</v>
      </c>
      <c r="G33" s="4">
        <v>3</v>
      </c>
      <c r="H33" s="4">
        <f t="shared" si="4"/>
        <v>120</v>
      </c>
    </row>
    <row r="34" spans="1:10" ht="15.6" x14ac:dyDescent="0.35">
      <c r="A34" s="4">
        <v>13</v>
      </c>
      <c r="B34" s="6" t="s">
        <v>31</v>
      </c>
      <c r="C34" s="4">
        <v>4</v>
      </c>
      <c r="D34" s="4">
        <v>4</v>
      </c>
      <c r="E34" s="4">
        <v>15</v>
      </c>
      <c r="F34" s="4">
        <f t="shared" si="2"/>
        <v>60</v>
      </c>
      <c r="G34" s="4">
        <v>15</v>
      </c>
      <c r="H34" s="4">
        <f t="shared" si="4"/>
        <v>60</v>
      </c>
    </row>
    <row r="35" spans="1:10" x14ac:dyDescent="0.3">
      <c r="A35" s="1"/>
      <c r="B35" s="1"/>
      <c r="C35" s="2"/>
      <c r="D35" s="2"/>
      <c r="E35" s="2"/>
      <c r="F35" s="2"/>
      <c r="G35" s="2"/>
      <c r="H35" s="2"/>
    </row>
    <row r="36" spans="1:10" ht="18.3" x14ac:dyDescent="0.3">
      <c r="A36" s="1"/>
      <c r="B36" s="39" t="s">
        <v>15</v>
      </c>
      <c r="C36" s="39"/>
      <c r="D36" s="39"/>
      <c r="E36" s="39"/>
      <c r="F36" s="11">
        <f>SUM(F22:F30)</f>
        <v>5270</v>
      </c>
      <c r="G36" s="12"/>
      <c r="H36" s="13">
        <f>SUM(H22:H30)</f>
        <v>5466</v>
      </c>
      <c r="J36" s="3"/>
    </row>
  </sheetData>
  <mergeCells count="4">
    <mergeCell ref="B17:E17"/>
    <mergeCell ref="A2:H2"/>
    <mergeCell ref="A20:H20"/>
    <mergeCell ref="B36:E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11"/>
  <sheetViews>
    <sheetView topLeftCell="Y1" workbookViewId="0">
      <selection activeCell="B1" sqref="B1:AH6"/>
    </sheetView>
  </sheetViews>
  <sheetFormatPr defaultRowHeight="14" x14ac:dyDescent="0.3"/>
  <cols>
    <col min="2" max="2" width="19.3984375" customWidth="1"/>
    <col min="3" max="3" width="11.09765625" customWidth="1"/>
  </cols>
  <sheetData>
    <row r="1" spans="2:34" x14ac:dyDescent="0.3">
      <c r="C1" s="41" t="s">
        <v>65</v>
      </c>
      <c r="D1" s="41"/>
      <c r="E1" s="41"/>
      <c r="F1" s="41"/>
      <c r="G1" s="41" t="s">
        <v>66</v>
      </c>
      <c r="H1" s="41"/>
      <c r="I1" s="41"/>
      <c r="J1" s="41"/>
      <c r="K1" s="41" t="s">
        <v>67</v>
      </c>
      <c r="L1" s="41"/>
      <c r="M1" s="41"/>
      <c r="N1" s="41"/>
      <c r="O1" s="41" t="s">
        <v>68</v>
      </c>
      <c r="P1" s="41"/>
      <c r="Q1" s="41"/>
      <c r="R1" s="41"/>
      <c r="S1" s="41" t="s">
        <v>69</v>
      </c>
      <c r="T1" s="41"/>
      <c r="U1" s="41"/>
      <c r="V1" s="41"/>
      <c r="W1" s="41" t="s">
        <v>70</v>
      </c>
      <c r="X1" s="41"/>
      <c r="Y1" s="41"/>
      <c r="Z1" s="41"/>
      <c r="AA1" s="41" t="s">
        <v>71</v>
      </c>
      <c r="AB1" s="41"/>
      <c r="AC1" s="41"/>
      <c r="AD1" s="41"/>
      <c r="AE1" s="41" t="s">
        <v>72</v>
      </c>
      <c r="AF1" s="41"/>
      <c r="AG1" s="41"/>
      <c r="AH1" s="41"/>
    </row>
    <row r="2" spans="2:34" x14ac:dyDescent="0.3">
      <c r="C2" s="41" t="s">
        <v>47</v>
      </c>
      <c r="D2" s="41"/>
      <c r="E2" s="41" t="s">
        <v>48</v>
      </c>
      <c r="F2" s="41"/>
      <c r="G2" s="41" t="s">
        <v>47</v>
      </c>
      <c r="H2" s="41"/>
      <c r="I2" s="41" t="s">
        <v>48</v>
      </c>
      <c r="J2" s="41"/>
      <c r="K2" s="41" t="s">
        <v>47</v>
      </c>
      <c r="L2" s="41"/>
      <c r="M2" s="41" t="s">
        <v>48</v>
      </c>
      <c r="N2" s="41"/>
      <c r="O2" s="41" t="s">
        <v>47</v>
      </c>
      <c r="P2" s="41"/>
      <c r="Q2" s="41" t="s">
        <v>48</v>
      </c>
      <c r="R2" s="41"/>
      <c r="S2" s="41" t="s">
        <v>47</v>
      </c>
      <c r="T2" s="41"/>
      <c r="U2" s="41" t="s">
        <v>48</v>
      </c>
      <c r="V2" s="41"/>
      <c r="W2" s="41" t="s">
        <v>47</v>
      </c>
      <c r="X2" s="41"/>
      <c r="Y2" s="41" t="s">
        <v>48</v>
      </c>
      <c r="Z2" s="41"/>
      <c r="AA2" s="41" t="s">
        <v>47</v>
      </c>
      <c r="AB2" s="41"/>
      <c r="AC2" s="41" t="s">
        <v>48</v>
      </c>
      <c r="AD2" s="41"/>
      <c r="AE2" s="41" t="s">
        <v>47</v>
      </c>
      <c r="AF2" s="41"/>
      <c r="AG2" s="41" t="s">
        <v>48</v>
      </c>
      <c r="AH2" s="41"/>
    </row>
    <row r="3" spans="2:34" ht="14" customHeight="1" x14ac:dyDescent="0.3">
      <c r="C3" s="43" t="s">
        <v>62</v>
      </c>
      <c r="D3" s="43" t="s">
        <v>63</v>
      </c>
      <c r="E3" s="43" t="s">
        <v>62</v>
      </c>
      <c r="F3" s="43" t="s">
        <v>64</v>
      </c>
      <c r="G3" s="43" t="s">
        <v>62</v>
      </c>
      <c r="H3" s="43" t="s">
        <v>63</v>
      </c>
      <c r="I3" s="43" t="s">
        <v>62</v>
      </c>
      <c r="J3" s="43" t="s">
        <v>64</v>
      </c>
      <c r="K3" s="43" t="s">
        <v>62</v>
      </c>
      <c r="L3" s="43" t="s">
        <v>63</v>
      </c>
      <c r="M3" s="43" t="s">
        <v>62</v>
      </c>
      <c r="N3" s="43" t="s">
        <v>64</v>
      </c>
      <c r="O3" s="43" t="s">
        <v>62</v>
      </c>
      <c r="P3" s="43" t="s">
        <v>63</v>
      </c>
      <c r="Q3" s="43" t="s">
        <v>62</v>
      </c>
      <c r="R3" s="43" t="s">
        <v>64</v>
      </c>
      <c r="S3" s="43" t="s">
        <v>62</v>
      </c>
      <c r="T3" s="43" t="s">
        <v>63</v>
      </c>
      <c r="U3" s="43" t="s">
        <v>62</v>
      </c>
      <c r="V3" s="43" t="s">
        <v>64</v>
      </c>
      <c r="W3" s="43" t="s">
        <v>62</v>
      </c>
      <c r="X3" s="43" t="s">
        <v>63</v>
      </c>
      <c r="Y3" s="43" t="s">
        <v>62</v>
      </c>
      <c r="Z3" s="43" t="s">
        <v>64</v>
      </c>
      <c r="AA3" s="43" t="s">
        <v>62</v>
      </c>
      <c r="AB3" s="43" t="s">
        <v>63</v>
      </c>
      <c r="AC3" s="43" t="s">
        <v>62</v>
      </c>
      <c r="AD3" s="43" t="s">
        <v>64</v>
      </c>
      <c r="AE3" s="43" t="s">
        <v>62</v>
      </c>
      <c r="AF3" s="43" t="s">
        <v>63</v>
      </c>
      <c r="AG3" s="43" t="s">
        <v>62</v>
      </c>
      <c r="AH3" s="43" t="s">
        <v>64</v>
      </c>
    </row>
    <row r="4" spans="2:34" ht="27.95" customHeight="1" x14ac:dyDescent="0.3"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</row>
    <row r="5" spans="2:34" ht="33.35" customHeight="1" x14ac:dyDescent="0.35">
      <c r="B5" s="7" t="s">
        <v>23</v>
      </c>
      <c r="C5" s="24"/>
      <c r="D5" s="24"/>
    </row>
    <row r="6" spans="2:34" ht="29.55" customHeight="1" x14ac:dyDescent="0.35">
      <c r="B6" s="8" t="s">
        <v>2</v>
      </c>
    </row>
    <row r="11" spans="2:34" x14ac:dyDescent="0.3">
      <c r="Q11">
        <f>16*620</f>
        <v>9920</v>
      </c>
    </row>
  </sheetData>
  <mergeCells count="56">
    <mergeCell ref="AE1:AH1"/>
    <mergeCell ref="AE2:AF2"/>
    <mergeCell ref="AG2:AH2"/>
    <mergeCell ref="AE3:AE4"/>
    <mergeCell ref="AF3:AF4"/>
    <mergeCell ref="AG3:AG4"/>
    <mergeCell ref="AH3:AH4"/>
    <mergeCell ref="AA1:AD1"/>
    <mergeCell ref="AA2:AB2"/>
    <mergeCell ref="AC2:AD2"/>
    <mergeCell ref="AA3:AA4"/>
    <mergeCell ref="AB3:AB4"/>
    <mergeCell ref="AC3:AC4"/>
    <mergeCell ref="AD3:AD4"/>
    <mergeCell ref="W1:Z1"/>
    <mergeCell ref="W2:X2"/>
    <mergeCell ref="Y2:Z2"/>
    <mergeCell ref="W3:W4"/>
    <mergeCell ref="X3:X4"/>
    <mergeCell ref="Y3:Y4"/>
    <mergeCell ref="Z3:Z4"/>
    <mergeCell ref="S1:V1"/>
    <mergeCell ref="S2:T2"/>
    <mergeCell ref="U2:V2"/>
    <mergeCell ref="S3:S4"/>
    <mergeCell ref="T3:T4"/>
    <mergeCell ref="U3:U4"/>
    <mergeCell ref="V3:V4"/>
    <mergeCell ref="O1:R1"/>
    <mergeCell ref="O2:P2"/>
    <mergeCell ref="Q2:R2"/>
    <mergeCell ref="O3:O4"/>
    <mergeCell ref="P3:P4"/>
    <mergeCell ref="Q3:Q4"/>
    <mergeCell ref="R3:R4"/>
    <mergeCell ref="K1:N1"/>
    <mergeCell ref="K2:L2"/>
    <mergeCell ref="M2:N2"/>
    <mergeCell ref="K3:K4"/>
    <mergeCell ref="L3:L4"/>
    <mergeCell ref="M3:M4"/>
    <mergeCell ref="N3:N4"/>
    <mergeCell ref="G1:J1"/>
    <mergeCell ref="G2:H2"/>
    <mergeCell ref="I2:J2"/>
    <mergeCell ref="G3:G4"/>
    <mergeCell ref="H3:H4"/>
    <mergeCell ref="I3:I4"/>
    <mergeCell ref="J3:J4"/>
    <mergeCell ref="C1:F1"/>
    <mergeCell ref="C2:D2"/>
    <mergeCell ref="E2:F2"/>
    <mergeCell ref="C3:C4"/>
    <mergeCell ref="D3:D4"/>
    <mergeCell ref="E3:E4"/>
    <mergeCell ref="F3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topLeftCell="A6" workbookViewId="0">
      <selection activeCell="K30" sqref="K30"/>
    </sheetView>
  </sheetViews>
  <sheetFormatPr defaultRowHeight="14" x14ac:dyDescent="0.3"/>
  <cols>
    <col min="1" max="1" width="17.69921875" customWidth="1"/>
    <col min="5" max="5" width="20.19921875" customWidth="1"/>
    <col min="6" max="6" width="20.69921875" customWidth="1"/>
  </cols>
  <sheetData>
    <row r="1" spans="1:8" x14ac:dyDescent="0.3">
      <c r="A1" s="49" t="s">
        <v>47</v>
      </c>
      <c r="B1" s="50"/>
      <c r="C1" s="51" t="s">
        <v>48</v>
      </c>
      <c r="D1" s="52"/>
    </row>
    <row r="2" spans="1:8" ht="31.2" x14ac:dyDescent="0.3">
      <c r="A2" s="53" t="s">
        <v>27</v>
      </c>
      <c r="B2" s="48" t="s">
        <v>28</v>
      </c>
      <c r="C2" s="48" t="s">
        <v>56</v>
      </c>
      <c r="D2" s="54" t="s">
        <v>55</v>
      </c>
    </row>
    <row r="3" spans="1:8" ht="14.55" thickBot="1" x14ac:dyDescent="0.35">
      <c r="A3" s="57">
        <v>120</v>
      </c>
      <c r="B3" s="55">
        <v>110</v>
      </c>
      <c r="C3" s="55">
        <v>100</v>
      </c>
      <c r="D3" s="56">
        <v>90</v>
      </c>
    </row>
    <row r="4" spans="1:8" ht="38.700000000000003" customHeight="1" x14ac:dyDescent="0.35">
      <c r="E4" s="59" t="s">
        <v>23</v>
      </c>
      <c r="F4" s="8" t="s">
        <v>2</v>
      </c>
      <c r="G4" s="44" t="s">
        <v>50</v>
      </c>
      <c r="H4" t="s">
        <v>77</v>
      </c>
    </row>
    <row r="5" spans="1:8" x14ac:dyDescent="0.3">
      <c r="A5" s="41" t="s">
        <v>65</v>
      </c>
      <c r="B5" s="41" t="s">
        <v>47</v>
      </c>
      <c r="C5" s="43" t="s">
        <v>62</v>
      </c>
      <c r="D5" s="43"/>
      <c r="E5" s="58">
        <v>10</v>
      </c>
      <c r="F5" s="24">
        <v>8</v>
      </c>
      <c r="G5">
        <f>SUM(E5:F5)</f>
        <v>18</v>
      </c>
      <c r="H5">
        <f>INDEX($A$3:$D$3,MOD(ROW()-5,4)+1) * G5</f>
        <v>2160</v>
      </c>
    </row>
    <row r="6" spans="1:8" x14ac:dyDescent="0.3">
      <c r="A6" s="41"/>
      <c r="B6" s="41"/>
      <c r="C6" s="43" t="s">
        <v>63</v>
      </c>
      <c r="D6" s="43"/>
      <c r="E6" s="58">
        <v>12</v>
      </c>
      <c r="F6" s="24">
        <v>9</v>
      </c>
      <c r="G6">
        <f t="shared" ref="G6:G36" si="0">SUM(E6:F6)</f>
        <v>21</v>
      </c>
      <c r="H6">
        <f>INDEX($A$3:$D$3,MOD(ROW()-5,4)+1) * G6</f>
        <v>2310</v>
      </c>
    </row>
    <row r="7" spans="1:8" x14ac:dyDescent="0.3">
      <c r="A7" s="41"/>
      <c r="B7" s="41" t="s">
        <v>48</v>
      </c>
      <c r="C7" s="43" t="s">
        <v>62</v>
      </c>
      <c r="D7" s="43"/>
      <c r="E7" s="58">
        <v>7</v>
      </c>
      <c r="F7" s="24">
        <v>5</v>
      </c>
      <c r="G7">
        <f t="shared" si="0"/>
        <v>12</v>
      </c>
      <c r="H7">
        <f>INDEX($A$3:$D$3,MOD(ROW()-5,4)+1) * G7</f>
        <v>1200</v>
      </c>
    </row>
    <row r="8" spans="1:8" x14ac:dyDescent="0.3">
      <c r="A8" s="41"/>
      <c r="B8" s="41"/>
      <c r="C8" s="43" t="s">
        <v>64</v>
      </c>
      <c r="D8" s="43"/>
      <c r="E8" s="58">
        <v>6</v>
      </c>
      <c r="F8" s="24">
        <v>4</v>
      </c>
      <c r="G8">
        <f t="shared" si="0"/>
        <v>10</v>
      </c>
      <c r="H8">
        <f>INDEX($A$3:$D$3,MOD(ROW()-5,4)+1) * G8</f>
        <v>900</v>
      </c>
    </row>
    <row r="9" spans="1:8" x14ac:dyDescent="0.3">
      <c r="A9" s="41" t="s">
        <v>66</v>
      </c>
      <c r="B9" s="41" t="s">
        <v>47</v>
      </c>
      <c r="C9" s="43" t="s">
        <v>62</v>
      </c>
      <c r="D9" s="43"/>
      <c r="E9" s="58">
        <v>23</v>
      </c>
      <c r="F9" s="24">
        <v>8</v>
      </c>
      <c r="G9">
        <f t="shared" si="0"/>
        <v>31</v>
      </c>
      <c r="H9">
        <f>INDEX($A$3:$D$3,MOD(ROW()-5,4)+1) * G9</f>
        <v>3720</v>
      </c>
    </row>
    <row r="10" spans="1:8" x14ac:dyDescent="0.3">
      <c r="A10" s="41"/>
      <c r="B10" s="41"/>
      <c r="C10" s="43" t="s">
        <v>63</v>
      </c>
      <c r="D10" s="43"/>
      <c r="E10" s="58">
        <v>45</v>
      </c>
      <c r="F10" s="24">
        <v>76</v>
      </c>
      <c r="G10">
        <f t="shared" si="0"/>
        <v>121</v>
      </c>
      <c r="H10">
        <f>INDEX($A$3:$D$3,MOD(ROW()-5,4)+1) * G10</f>
        <v>13310</v>
      </c>
    </row>
    <row r="11" spans="1:8" x14ac:dyDescent="0.3">
      <c r="A11" s="41"/>
      <c r="B11" s="41" t="s">
        <v>48</v>
      </c>
      <c r="C11" s="43" t="s">
        <v>62</v>
      </c>
      <c r="D11" s="43"/>
      <c r="E11" s="58">
        <v>78</v>
      </c>
      <c r="F11" s="24">
        <v>65</v>
      </c>
      <c r="G11">
        <f t="shared" si="0"/>
        <v>143</v>
      </c>
      <c r="H11">
        <f>INDEX($A$3:$D$3,MOD(ROW()-5,4)+1) * G11</f>
        <v>14300</v>
      </c>
    </row>
    <row r="12" spans="1:8" x14ac:dyDescent="0.3">
      <c r="A12" s="41"/>
      <c r="B12" s="41"/>
      <c r="C12" s="43" t="s">
        <v>64</v>
      </c>
      <c r="D12" s="43"/>
      <c r="E12" s="58">
        <v>12</v>
      </c>
      <c r="F12" s="24">
        <v>34</v>
      </c>
      <c r="G12">
        <f t="shared" si="0"/>
        <v>46</v>
      </c>
      <c r="H12">
        <f>INDEX($A$3:$D$3,MOD(ROW()-5,4)+1) * G12</f>
        <v>4140</v>
      </c>
    </row>
    <row r="13" spans="1:8" x14ac:dyDescent="0.3">
      <c r="A13" s="41" t="s">
        <v>67</v>
      </c>
      <c r="B13" s="41" t="s">
        <v>47</v>
      </c>
      <c r="C13" s="43" t="s">
        <v>62</v>
      </c>
      <c r="D13" s="43"/>
      <c r="E13" s="58">
        <v>45</v>
      </c>
      <c r="F13" s="24">
        <v>76</v>
      </c>
      <c r="G13">
        <f t="shared" si="0"/>
        <v>121</v>
      </c>
      <c r="H13">
        <f>INDEX($A$3:$D$3,MOD(ROW()-5,4)+1) * G13</f>
        <v>14520</v>
      </c>
    </row>
    <row r="14" spans="1:8" x14ac:dyDescent="0.3">
      <c r="A14" s="41"/>
      <c r="B14" s="41"/>
      <c r="C14" s="43" t="s">
        <v>63</v>
      </c>
      <c r="D14" s="43"/>
      <c r="E14" s="58">
        <v>20</v>
      </c>
      <c r="F14" s="24">
        <v>22</v>
      </c>
      <c r="G14">
        <f t="shared" si="0"/>
        <v>42</v>
      </c>
      <c r="H14">
        <f>INDEX($A$3:$D$3,MOD(ROW()-5,4)+1) * G14</f>
        <v>4620</v>
      </c>
    </row>
    <row r="15" spans="1:8" x14ac:dyDescent="0.3">
      <c r="A15" s="41"/>
      <c r="B15" s="41" t="s">
        <v>48</v>
      </c>
      <c r="C15" s="43" t="s">
        <v>62</v>
      </c>
      <c r="D15" s="43"/>
      <c r="E15" s="58">
        <v>10</v>
      </c>
      <c r="F15" s="24">
        <v>34</v>
      </c>
      <c r="G15">
        <f t="shared" si="0"/>
        <v>44</v>
      </c>
      <c r="H15">
        <f>INDEX($A$3:$D$3,MOD(ROW()-5,4)+1) * G15</f>
        <v>4400</v>
      </c>
    </row>
    <row r="16" spans="1:8" x14ac:dyDescent="0.3">
      <c r="A16" s="41"/>
      <c r="B16" s="41"/>
      <c r="C16" s="43" t="s">
        <v>64</v>
      </c>
      <c r="D16" s="43"/>
      <c r="E16" s="58">
        <v>5</v>
      </c>
      <c r="F16" s="24">
        <v>8</v>
      </c>
      <c r="G16">
        <f t="shared" si="0"/>
        <v>13</v>
      </c>
      <c r="H16">
        <f>INDEX($A$3:$D$3,MOD(ROW()-5,4)+1) * G16</f>
        <v>1170</v>
      </c>
    </row>
    <row r="17" spans="1:8" x14ac:dyDescent="0.3">
      <c r="A17" s="41" t="s">
        <v>68</v>
      </c>
      <c r="B17" s="41" t="s">
        <v>47</v>
      </c>
      <c r="C17" s="43" t="s">
        <v>62</v>
      </c>
      <c r="D17" s="43"/>
      <c r="E17" s="58"/>
      <c r="G17">
        <f t="shared" si="0"/>
        <v>0</v>
      </c>
      <c r="H17">
        <f>INDEX($A$3:$D$3,MOD(ROW()-5,4)+1) * G17</f>
        <v>0</v>
      </c>
    </row>
    <row r="18" spans="1:8" x14ac:dyDescent="0.3">
      <c r="A18" s="41"/>
      <c r="B18" s="41"/>
      <c r="C18" s="43" t="s">
        <v>63</v>
      </c>
      <c r="D18" s="43"/>
      <c r="E18" s="58"/>
      <c r="G18">
        <f t="shared" si="0"/>
        <v>0</v>
      </c>
      <c r="H18">
        <f>INDEX($A$3:$D$3,MOD(ROW()-5,4)+1) * G18</f>
        <v>0</v>
      </c>
    </row>
    <row r="19" spans="1:8" x14ac:dyDescent="0.3">
      <c r="A19" s="41"/>
      <c r="B19" s="41" t="s">
        <v>48</v>
      </c>
      <c r="C19" s="43" t="s">
        <v>62</v>
      </c>
      <c r="D19" s="43"/>
      <c r="E19" s="58"/>
      <c r="G19">
        <f t="shared" si="0"/>
        <v>0</v>
      </c>
      <c r="H19">
        <f>INDEX($A$3:$D$3,MOD(ROW()-5,4)+1) * G19</f>
        <v>0</v>
      </c>
    </row>
    <row r="20" spans="1:8" x14ac:dyDescent="0.3">
      <c r="A20" s="41"/>
      <c r="B20" s="41"/>
      <c r="C20" s="43" t="s">
        <v>64</v>
      </c>
      <c r="D20" s="43"/>
      <c r="E20" s="58"/>
      <c r="G20">
        <f t="shared" si="0"/>
        <v>0</v>
      </c>
      <c r="H20">
        <f>INDEX($A$3:$D$3,MOD(ROW()-5,4)+1) * G20</f>
        <v>0</v>
      </c>
    </row>
    <row r="21" spans="1:8" x14ac:dyDescent="0.3">
      <c r="A21" s="41" t="s">
        <v>69</v>
      </c>
      <c r="B21" s="41" t="s">
        <v>47</v>
      </c>
      <c r="C21" s="43" t="s">
        <v>62</v>
      </c>
      <c r="D21" s="43"/>
      <c r="E21" s="58"/>
      <c r="G21">
        <f t="shared" si="0"/>
        <v>0</v>
      </c>
      <c r="H21">
        <f>INDEX($A$3:$D$3,MOD(ROW()-5,4)+1) * G21</f>
        <v>0</v>
      </c>
    </row>
    <row r="22" spans="1:8" x14ac:dyDescent="0.3">
      <c r="A22" s="41"/>
      <c r="B22" s="41"/>
      <c r="C22" s="43" t="s">
        <v>63</v>
      </c>
      <c r="D22" s="43"/>
      <c r="E22" s="58"/>
      <c r="G22">
        <f t="shared" si="0"/>
        <v>0</v>
      </c>
      <c r="H22">
        <f>INDEX($A$3:$D$3,MOD(ROW()-5,4)+1) * G22</f>
        <v>0</v>
      </c>
    </row>
    <row r="23" spans="1:8" x14ac:dyDescent="0.3">
      <c r="A23" s="41"/>
      <c r="B23" s="41" t="s">
        <v>48</v>
      </c>
      <c r="C23" s="43" t="s">
        <v>62</v>
      </c>
      <c r="D23" s="43"/>
      <c r="E23" s="58"/>
      <c r="G23">
        <f t="shared" si="0"/>
        <v>0</v>
      </c>
      <c r="H23">
        <f>INDEX($A$3:$D$3,MOD(ROW()-5,4)+1) * G23</f>
        <v>0</v>
      </c>
    </row>
    <row r="24" spans="1:8" x14ac:dyDescent="0.3">
      <c r="A24" s="41"/>
      <c r="B24" s="41"/>
      <c r="C24" s="43" t="s">
        <v>64</v>
      </c>
      <c r="D24" s="43"/>
      <c r="E24" s="58"/>
      <c r="G24">
        <f t="shared" si="0"/>
        <v>0</v>
      </c>
      <c r="H24">
        <f>INDEX($A$3:$D$3,MOD(ROW()-5,4)+1) * G24</f>
        <v>0</v>
      </c>
    </row>
    <row r="25" spans="1:8" x14ac:dyDescent="0.3">
      <c r="A25" s="41" t="s">
        <v>70</v>
      </c>
      <c r="B25" s="41" t="s">
        <v>47</v>
      </c>
      <c r="C25" s="43" t="s">
        <v>62</v>
      </c>
      <c r="D25" s="43"/>
      <c r="E25" s="58"/>
      <c r="G25">
        <f t="shared" si="0"/>
        <v>0</v>
      </c>
      <c r="H25">
        <f>INDEX($A$3:$D$3,MOD(ROW()-5,4)+1) * G25</f>
        <v>0</v>
      </c>
    </row>
    <row r="26" spans="1:8" x14ac:dyDescent="0.3">
      <c r="A26" s="41"/>
      <c r="B26" s="41"/>
      <c r="C26" s="43" t="s">
        <v>63</v>
      </c>
      <c r="D26" s="43"/>
      <c r="E26" s="58"/>
      <c r="G26">
        <f t="shared" si="0"/>
        <v>0</v>
      </c>
      <c r="H26">
        <f>INDEX($A$3:$D$3,MOD(ROW()-5,4)+1) * G26</f>
        <v>0</v>
      </c>
    </row>
    <row r="27" spans="1:8" x14ac:dyDescent="0.3">
      <c r="A27" s="41"/>
      <c r="B27" s="41" t="s">
        <v>48</v>
      </c>
      <c r="C27" s="43" t="s">
        <v>62</v>
      </c>
      <c r="D27" s="43"/>
      <c r="E27" s="58"/>
      <c r="G27">
        <f t="shared" si="0"/>
        <v>0</v>
      </c>
      <c r="H27">
        <f>INDEX($A$3:$D$3,MOD(ROW()-5,4)+1) * G27</f>
        <v>0</v>
      </c>
    </row>
    <row r="28" spans="1:8" x14ac:dyDescent="0.3">
      <c r="A28" s="41"/>
      <c r="B28" s="41"/>
      <c r="C28" s="43" t="s">
        <v>64</v>
      </c>
      <c r="D28" s="43"/>
      <c r="E28" s="58"/>
      <c r="G28">
        <f t="shared" si="0"/>
        <v>0</v>
      </c>
      <c r="H28">
        <f>INDEX($A$3:$D$3,MOD(ROW()-5,4)+1) * G28</f>
        <v>0</v>
      </c>
    </row>
    <row r="29" spans="1:8" x14ac:dyDescent="0.3">
      <c r="A29" s="41" t="s">
        <v>71</v>
      </c>
      <c r="B29" s="41" t="s">
        <v>47</v>
      </c>
      <c r="C29" s="43" t="s">
        <v>62</v>
      </c>
      <c r="D29" s="43"/>
      <c r="E29" s="58"/>
      <c r="G29">
        <f t="shared" si="0"/>
        <v>0</v>
      </c>
      <c r="H29">
        <f>INDEX($A$3:$D$3,MOD(ROW()-5,4)+1) * G29</f>
        <v>0</v>
      </c>
    </row>
    <row r="30" spans="1:8" x14ac:dyDescent="0.3">
      <c r="A30" s="41"/>
      <c r="B30" s="41"/>
      <c r="C30" s="43" t="s">
        <v>63</v>
      </c>
      <c r="D30" s="43"/>
      <c r="E30" s="58"/>
      <c r="G30">
        <f t="shared" si="0"/>
        <v>0</v>
      </c>
      <c r="H30">
        <f>INDEX($A$3:$D$3,MOD(ROW()-5,4)+1) * G30</f>
        <v>0</v>
      </c>
    </row>
    <row r="31" spans="1:8" x14ac:dyDescent="0.3">
      <c r="A31" s="41"/>
      <c r="B31" s="41" t="s">
        <v>48</v>
      </c>
      <c r="C31" s="43" t="s">
        <v>62</v>
      </c>
      <c r="D31" s="43"/>
      <c r="E31" s="58"/>
      <c r="G31">
        <f t="shared" si="0"/>
        <v>0</v>
      </c>
      <c r="H31">
        <f>INDEX($A$3:$D$3,MOD(ROW()-5,4)+1) * G31</f>
        <v>0</v>
      </c>
    </row>
    <row r="32" spans="1:8" x14ac:dyDescent="0.3">
      <c r="A32" s="41"/>
      <c r="B32" s="41"/>
      <c r="C32" s="43" t="s">
        <v>64</v>
      </c>
      <c r="D32" s="43"/>
      <c r="E32" s="58"/>
      <c r="G32">
        <f t="shared" si="0"/>
        <v>0</v>
      </c>
      <c r="H32">
        <f>INDEX($A$3:$D$3,MOD(ROW()-5,4)+1) * G32</f>
        <v>0</v>
      </c>
    </row>
    <row r="33" spans="1:8" x14ac:dyDescent="0.3">
      <c r="A33" s="41" t="s">
        <v>72</v>
      </c>
      <c r="B33" s="41" t="s">
        <v>47</v>
      </c>
      <c r="C33" s="43" t="s">
        <v>62</v>
      </c>
      <c r="D33" s="43"/>
      <c r="E33" s="58"/>
      <c r="G33">
        <f t="shared" si="0"/>
        <v>0</v>
      </c>
      <c r="H33">
        <f>INDEX($A$3:$D$3,MOD(ROW()-5,4)+1) * G33</f>
        <v>0</v>
      </c>
    </row>
    <row r="34" spans="1:8" x14ac:dyDescent="0.3">
      <c r="A34" s="41"/>
      <c r="B34" s="41"/>
      <c r="C34" s="43" t="s">
        <v>63</v>
      </c>
      <c r="D34" s="43"/>
      <c r="E34" s="58"/>
      <c r="G34">
        <f t="shared" si="0"/>
        <v>0</v>
      </c>
      <c r="H34">
        <f>INDEX($A$3:$D$3,MOD(ROW()-5,4)+1) * G34</f>
        <v>0</v>
      </c>
    </row>
    <row r="35" spans="1:8" x14ac:dyDescent="0.3">
      <c r="A35" s="41"/>
      <c r="B35" s="41" t="s">
        <v>48</v>
      </c>
      <c r="C35" s="43" t="s">
        <v>62</v>
      </c>
      <c r="D35" s="43"/>
      <c r="E35" s="58"/>
      <c r="G35">
        <f t="shared" si="0"/>
        <v>0</v>
      </c>
      <c r="H35">
        <f>INDEX($A$3:$D$3,MOD(ROW()-5,4)+1) * G35</f>
        <v>0</v>
      </c>
    </row>
    <row r="36" spans="1:8" x14ac:dyDescent="0.3">
      <c r="A36" s="41"/>
      <c r="B36" s="41"/>
      <c r="C36" s="43" t="s">
        <v>64</v>
      </c>
      <c r="D36" s="43"/>
      <c r="E36" s="58"/>
      <c r="G36">
        <f t="shared" si="0"/>
        <v>0</v>
      </c>
      <c r="H36">
        <f>INDEX($A$3:$D$3,MOD(ROW()-5,4)+1) * G36</f>
        <v>0</v>
      </c>
    </row>
  </sheetData>
  <mergeCells count="58">
    <mergeCell ref="A1:B1"/>
    <mergeCell ref="C1:D1"/>
    <mergeCell ref="A33:A36"/>
    <mergeCell ref="B33:B34"/>
    <mergeCell ref="C33:D33"/>
    <mergeCell ref="C34:D34"/>
    <mergeCell ref="B35:B36"/>
    <mergeCell ref="C35:D35"/>
    <mergeCell ref="C36:D36"/>
    <mergeCell ref="A29:A32"/>
    <mergeCell ref="B29:B30"/>
    <mergeCell ref="C29:D29"/>
    <mergeCell ref="C30:D30"/>
    <mergeCell ref="B31:B32"/>
    <mergeCell ref="C31:D31"/>
    <mergeCell ref="C32:D32"/>
    <mergeCell ref="A25:A28"/>
    <mergeCell ref="B25:B26"/>
    <mergeCell ref="C25:D25"/>
    <mergeCell ref="C26:D26"/>
    <mergeCell ref="B27:B28"/>
    <mergeCell ref="C27:D27"/>
    <mergeCell ref="C28:D28"/>
    <mergeCell ref="A21:A24"/>
    <mergeCell ref="B21:B22"/>
    <mergeCell ref="C21:D21"/>
    <mergeCell ref="C22:D22"/>
    <mergeCell ref="B23:B24"/>
    <mergeCell ref="C23:D23"/>
    <mergeCell ref="C24:D24"/>
    <mergeCell ref="A17:A20"/>
    <mergeCell ref="B17:B18"/>
    <mergeCell ref="C17:D17"/>
    <mergeCell ref="C18:D18"/>
    <mergeCell ref="B19:B20"/>
    <mergeCell ref="C19:D19"/>
    <mergeCell ref="C20:D20"/>
    <mergeCell ref="A13:A16"/>
    <mergeCell ref="B13:B14"/>
    <mergeCell ref="C13:D13"/>
    <mergeCell ref="C14:D14"/>
    <mergeCell ref="B15:B16"/>
    <mergeCell ref="C15:D15"/>
    <mergeCell ref="C16:D16"/>
    <mergeCell ref="A9:A12"/>
    <mergeCell ref="B9:B10"/>
    <mergeCell ref="C9:D9"/>
    <mergeCell ref="C10:D10"/>
    <mergeCell ref="B11:B12"/>
    <mergeCell ref="C11:D11"/>
    <mergeCell ref="C12:D12"/>
    <mergeCell ref="A5:A8"/>
    <mergeCell ref="B5:B6"/>
    <mergeCell ref="C5:D5"/>
    <mergeCell ref="C6:D6"/>
    <mergeCell ref="B7:B8"/>
    <mergeCell ref="C7:D7"/>
    <mergeCell ref="C8:D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A3" sqref="A3:D5"/>
    </sheetView>
  </sheetViews>
  <sheetFormatPr defaultRowHeight="14" x14ac:dyDescent="0.3"/>
  <cols>
    <col min="4" max="4" width="22.796875" bestFit="1" customWidth="1"/>
    <col min="5" max="5" width="9.69921875" customWidth="1"/>
  </cols>
  <sheetData>
    <row r="1" spans="1:18" x14ac:dyDescent="0.3">
      <c r="I1" s="41" t="s">
        <v>52</v>
      </c>
      <c r="J1" s="41"/>
      <c r="K1" s="41"/>
      <c r="L1" s="41"/>
      <c r="M1" s="23"/>
      <c r="N1" s="41" t="s">
        <v>57</v>
      </c>
      <c r="O1" s="41"/>
      <c r="P1" s="41"/>
      <c r="Q1" s="41"/>
    </row>
    <row r="2" spans="1:18" x14ac:dyDescent="0.3">
      <c r="A2" s="40" t="s">
        <v>47</v>
      </c>
      <c r="B2" s="40"/>
      <c r="C2" s="40" t="s">
        <v>48</v>
      </c>
      <c r="D2" s="40"/>
      <c r="E2" s="28"/>
      <c r="I2" s="41" t="s">
        <v>47</v>
      </c>
      <c r="J2" s="41"/>
      <c r="K2" s="41" t="s">
        <v>48</v>
      </c>
      <c r="L2" s="41"/>
      <c r="M2" s="23"/>
      <c r="N2" s="41" t="s">
        <v>47</v>
      </c>
      <c r="O2" s="41"/>
      <c r="P2" s="41" t="s">
        <v>48</v>
      </c>
      <c r="Q2" s="41"/>
    </row>
    <row r="3" spans="1:18" ht="46.75" x14ac:dyDescent="0.3">
      <c r="A3" s="5" t="s">
        <v>27</v>
      </c>
      <c r="B3" s="5" t="s">
        <v>28</v>
      </c>
      <c r="C3" s="5" t="s">
        <v>56</v>
      </c>
      <c r="D3" s="5" t="s">
        <v>55</v>
      </c>
      <c r="E3" s="29"/>
      <c r="F3" s="25" t="s">
        <v>49</v>
      </c>
      <c r="G3" s="25" t="s">
        <v>50</v>
      </c>
      <c r="H3" s="25" t="s">
        <v>59</v>
      </c>
      <c r="I3" s="41"/>
      <c r="J3" s="41"/>
      <c r="K3" s="23"/>
      <c r="L3" s="23"/>
      <c r="M3" s="23" t="s">
        <v>59</v>
      </c>
      <c r="N3" s="23"/>
      <c r="O3" s="23"/>
      <c r="P3" s="23"/>
      <c r="Q3" s="23"/>
      <c r="R3" t="s">
        <v>59</v>
      </c>
    </row>
    <row r="4" spans="1:18" x14ac:dyDescent="0.3">
      <c r="A4">
        <v>120</v>
      </c>
      <c r="F4">
        <v>18</v>
      </c>
      <c r="I4" s="23"/>
      <c r="J4" s="23"/>
      <c r="K4" s="23"/>
      <c r="L4" s="23"/>
      <c r="M4" s="23"/>
      <c r="N4" s="23"/>
      <c r="O4" s="23"/>
      <c r="P4" s="23"/>
      <c r="Q4" s="23"/>
    </row>
    <row r="5" spans="1:18" x14ac:dyDescent="0.3">
      <c r="I5" s="23" t="s">
        <v>53</v>
      </c>
      <c r="J5" s="23" t="s">
        <v>54</v>
      </c>
      <c r="K5" t="s">
        <v>53</v>
      </c>
      <c r="L5" t="s">
        <v>58</v>
      </c>
      <c r="N5" s="23" t="s">
        <v>53</v>
      </c>
      <c r="O5" s="23" t="s">
        <v>54</v>
      </c>
      <c r="P5" t="s">
        <v>53</v>
      </c>
      <c r="Q5" t="s">
        <v>58</v>
      </c>
    </row>
    <row r="6" spans="1:18" ht="15.6" x14ac:dyDescent="0.3">
      <c r="A6" s="4" t="s">
        <v>0</v>
      </c>
      <c r="B6" s="4"/>
      <c r="C6" s="4"/>
      <c r="D6" s="4" t="s">
        <v>1</v>
      </c>
      <c r="E6" s="30" t="s">
        <v>60</v>
      </c>
      <c r="F6" s="25"/>
      <c r="G6" s="25"/>
      <c r="H6" s="25"/>
      <c r="I6" s="25" t="s">
        <v>51</v>
      </c>
    </row>
    <row r="7" spans="1:18" ht="15.6" x14ac:dyDescent="0.3">
      <c r="A7" s="4"/>
      <c r="B7" s="4"/>
      <c r="C7" s="4"/>
      <c r="D7" s="4"/>
      <c r="E7" s="31"/>
      <c r="F7" s="26"/>
      <c r="G7" s="26"/>
      <c r="H7" s="26"/>
      <c r="I7" s="26"/>
      <c r="J7" s="26"/>
      <c r="K7" s="27"/>
      <c r="L7" s="27"/>
      <c r="M7" s="27"/>
      <c r="N7" s="27"/>
    </row>
    <row r="8" spans="1:18" ht="15.6" x14ac:dyDescent="0.3">
      <c r="A8" s="4"/>
      <c r="B8" s="4"/>
      <c r="C8" s="4"/>
      <c r="D8" s="4"/>
      <c r="E8" s="31"/>
      <c r="F8" s="26"/>
      <c r="G8" s="26"/>
      <c r="H8" s="26"/>
      <c r="I8" s="26"/>
      <c r="J8" s="26"/>
      <c r="K8" s="27"/>
      <c r="L8" s="27"/>
      <c r="M8" s="27"/>
      <c r="N8" s="27"/>
    </row>
    <row r="9" spans="1:18" ht="31.2" x14ac:dyDescent="0.35">
      <c r="A9" s="4">
        <v>1</v>
      </c>
      <c r="B9" s="4"/>
      <c r="C9" s="4"/>
      <c r="D9" s="7" t="s">
        <v>23</v>
      </c>
      <c r="E9" s="32">
        <f>A4*F4</f>
        <v>2160</v>
      </c>
      <c r="G9">
        <v>19.5</v>
      </c>
      <c r="H9">
        <v>2</v>
      </c>
      <c r="I9">
        <f>H9*E9</f>
        <v>4320</v>
      </c>
    </row>
    <row r="10" spans="1:18" ht="31.2" x14ac:dyDescent="0.35">
      <c r="A10" s="4">
        <v>2</v>
      </c>
      <c r="B10" s="4"/>
      <c r="C10" s="4"/>
      <c r="D10" s="8" t="s">
        <v>2</v>
      </c>
      <c r="E10" s="33"/>
    </row>
    <row r="11" spans="1:18" ht="15.6" x14ac:dyDescent="0.35">
      <c r="A11" s="4">
        <v>3</v>
      </c>
      <c r="B11" s="4"/>
      <c r="C11" s="4"/>
      <c r="D11" s="6" t="s">
        <v>3</v>
      </c>
      <c r="E11" s="34"/>
    </row>
    <row r="12" spans="1:18" ht="15.6" x14ac:dyDescent="0.35">
      <c r="A12" s="4">
        <v>4</v>
      </c>
      <c r="B12" s="4"/>
      <c r="C12" s="4"/>
      <c r="D12" s="6" t="s">
        <v>4</v>
      </c>
      <c r="E12" s="34"/>
    </row>
    <row r="13" spans="1:18" ht="15.6" x14ac:dyDescent="0.35">
      <c r="A13" s="4">
        <v>5</v>
      </c>
      <c r="B13" s="4"/>
      <c r="C13" s="4"/>
      <c r="D13" s="6" t="s">
        <v>5</v>
      </c>
      <c r="E13" s="34"/>
    </row>
    <row r="14" spans="1:18" ht="15.6" x14ac:dyDescent="0.35">
      <c r="A14" s="4">
        <v>6</v>
      </c>
      <c r="B14" s="4"/>
      <c r="C14" s="4"/>
      <c r="D14" s="6" t="s">
        <v>24</v>
      </c>
      <c r="E14" s="34"/>
    </row>
    <row r="15" spans="1:18" ht="15.6" x14ac:dyDescent="0.35">
      <c r="A15" s="4">
        <v>7</v>
      </c>
      <c r="B15" s="4"/>
      <c r="C15" s="4"/>
      <c r="D15" s="6" t="s">
        <v>6</v>
      </c>
      <c r="E15" s="34"/>
    </row>
    <row r="16" spans="1:18" ht="15.6" x14ac:dyDescent="0.35">
      <c r="A16" s="4">
        <v>8</v>
      </c>
      <c r="B16" s="4"/>
      <c r="C16" s="4"/>
      <c r="D16" s="6" t="s">
        <v>7</v>
      </c>
      <c r="E16" s="34"/>
    </row>
    <row r="17" spans="1:5" ht="15.6" x14ac:dyDescent="0.35">
      <c r="A17" s="4">
        <v>9</v>
      </c>
      <c r="B17" s="4"/>
      <c r="C17" s="4"/>
      <c r="D17" s="6" t="s">
        <v>8</v>
      </c>
      <c r="E17" s="34"/>
    </row>
    <row r="18" spans="1:5" ht="15.6" x14ac:dyDescent="0.35">
      <c r="A18" s="4">
        <v>10</v>
      </c>
      <c r="B18" s="4"/>
      <c r="C18" s="4"/>
      <c r="D18" s="6" t="s">
        <v>21</v>
      </c>
      <c r="E18" s="34"/>
    </row>
    <row r="19" spans="1:5" ht="15.6" x14ac:dyDescent="0.35">
      <c r="A19" s="4">
        <v>11</v>
      </c>
      <c r="B19" s="4"/>
      <c r="C19" s="4"/>
      <c r="D19" s="6" t="s">
        <v>22</v>
      </c>
      <c r="E19" s="34"/>
    </row>
    <row r="20" spans="1:5" ht="15.6" x14ac:dyDescent="0.35">
      <c r="A20" s="4">
        <v>12</v>
      </c>
      <c r="B20" s="4"/>
      <c r="C20" s="4"/>
      <c r="D20" s="6" t="s">
        <v>30</v>
      </c>
      <c r="E20" s="34"/>
    </row>
    <row r="21" spans="1:5" ht="15.6" x14ac:dyDescent="0.35">
      <c r="A21" s="10">
        <v>13</v>
      </c>
      <c r="B21" s="10"/>
      <c r="C21" s="10"/>
      <c r="D21" s="6" t="s">
        <v>31</v>
      </c>
      <c r="E21" s="34"/>
    </row>
  </sheetData>
  <mergeCells count="9">
    <mergeCell ref="N1:Q1"/>
    <mergeCell ref="N2:O2"/>
    <mergeCell ref="P2:Q2"/>
    <mergeCell ref="A2:B2"/>
    <mergeCell ref="C2:D2"/>
    <mergeCell ref="I3:J3"/>
    <mergeCell ref="I1:L1"/>
    <mergeCell ref="I2:J2"/>
    <mergeCell ref="K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16"/>
  <sheetViews>
    <sheetView workbookViewId="0">
      <selection activeCell="P27" sqref="P27"/>
    </sheetView>
  </sheetViews>
  <sheetFormatPr defaultRowHeight="14" x14ac:dyDescent="0.3"/>
  <cols>
    <col min="2" max="2" width="22.796875" bestFit="1" customWidth="1"/>
    <col min="3" max="3" width="8.09765625" customWidth="1"/>
    <col min="10" max="11" width="8.69921875" customWidth="1"/>
  </cols>
  <sheetData>
    <row r="2" spans="2:42" ht="27.95" customHeight="1" x14ac:dyDescent="0.3">
      <c r="D2" s="46" t="s">
        <v>65</v>
      </c>
      <c r="E2" s="46"/>
      <c r="F2" s="46" t="s">
        <v>66</v>
      </c>
      <c r="G2" s="46"/>
      <c r="H2" s="46" t="s">
        <v>67</v>
      </c>
      <c r="I2" s="46"/>
      <c r="J2" s="46" t="s">
        <v>68</v>
      </c>
      <c r="K2" s="46"/>
      <c r="L2" s="46" t="s">
        <v>69</v>
      </c>
      <c r="M2" s="46"/>
      <c r="N2" s="46" t="s">
        <v>69</v>
      </c>
      <c r="O2" s="46"/>
      <c r="P2" s="46" t="s">
        <v>70</v>
      </c>
      <c r="Q2" s="46"/>
      <c r="R2" s="46" t="s">
        <v>71</v>
      </c>
      <c r="S2" s="46"/>
      <c r="T2" s="45"/>
      <c r="U2" s="45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1" t="s">
        <v>71</v>
      </c>
      <c r="AJ2" s="41"/>
      <c r="AK2" s="41"/>
      <c r="AL2" s="41"/>
      <c r="AM2" s="41" t="s">
        <v>72</v>
      </c>
      <c r="AN2" s="41"/>
      <c r="AO2" s="41"/>
      <c r="AP2" s="41"/>
    </row>
    <row r="4" spans="2:42" x14ac:dyDescent="0.3">
      <c r="C4" t="s">
        <v>74</v>
      </c>
      <c r="D4" t="s">
        <v>73</v>
      </c>
      <c r="E4" t="s">
        <v>75</v>
      </c>
      <c r="F4" t="s">
        <v>73</v>
      </c>
      <c r="G4" t="s">
        <v>75</v>
      </c>
      <c r="H4" t="s">
        <v>73</v>
      </c>
      <c r="I4" t="s">
        <v>75</v>
      </c>
      <c r="J4" t="s">
        <v>73</v>
      </c>
      <c r="K4" t="s">
        <v>75</v>
      </c>
      <c r="L4" t="s">
        <v>73</v>
      </c>
      <c r="M4" t="s">
        <v>75</v>
      </c>
      <c r="N4" t="s">
        <v>73</v>
      </c>
      <c r="O4" t="s">
        <v>75</v>
      </c>
      <c r="P4" t="s">
        <v>73</v>
      </c>
      <c r="Q4" t="s">
        <v>75</v>
      </c>
      <c r="R4" t="s">
        <v>73</v>
      </c>
      <c r="S4" t="s">
        <v>75</v>
      </c>
    </row>
    <row r="5" spans="2:42" ht="15.6" x14ac:dyDescent="0.35">
      <c r="B5" s="6" t="s">
        <v>3</v>
      </c>
      <c r="C5" s="34">
        <v>0</v>
      </c>
      <c r="D5">
        <v>0</v>
      </c>
      <c r="E5">
        <f>D5*C5</f>
        <v>0</v>
      </c>
      <c r="F5">
        <v>0</v>
      </c>
      <c r="G5">
        <f>F5*C5</f>
        <v>0</v>
      </c>
      <c r="I5">
        <f>H5*C5</f>
        <v>0</v>
      </c>
      <c r="K5">
        <f>J5*C5</f>
        <v>0</v>
      </c>
      <c r="M5">
        <f>L5*C5</f>
        <v>0</v>
      </c>
      <c r="O5">
        <f>N5*C5</f>
        <v>0</v>
      </c>
      <c r="Q5">
        <f>+P5*C5</f>
        <v>0</v>
      </c>
      <c r="S5">
        <f>R5*C5</f>
        <v>0</v>
      </c>
    </row>
    <row r="6" spans="2:42" ht="15.6" x14ac:dyDescent="0.35">
      <c r="B6" s="6" t="s">
        <v>4</v>
      </c>
      <c r="C6" s="34"/>
      <c r="E6">
        <f t="shared" ref="E6:E15" si="0">D6*C6</f>
        <v>0</v>
      </c>
      <c r="G6">
        <f t="shared" ref="G6:G15" si="1">F6*C6</f>
        <v>0</v>
      </c>
      <c r="I6">
        <f t="shared" ref="I6:I15" si="2">H6*C6</f>
        <v>0</v>
      </c>
      <c r="K6">
        <f t="shared" ref="K6:K15" si="3">J6*C6</f>
        <v>0</v>
      </c>
      <c r="M6">
        <f t="shared" ref="M6:M15" si="4">L6*C6</f>
        <v>0</v>
      </c>
      <c r="O6">
        <f t="shared" ref="O6:O15" si="5">N6*C6</f>
        <v>0</v>
      </c>
      <c r="Q6">
        <f t="shared" ref="Q6:Q15" si="6">+P6*C6</f>
        <v>0</v>
      </c>
      <c r="S6">
        <f t="shared" ref="S6:S15" si="7">R6*C6</f>
        <v>0</v>
      </c>
    </row>
    <row r="7" spans="2:42" ht="15.6" x14ac:dyDescent="0.35">
      <c r="B7" s="6" t="s">
        <v>5</v>
      </c>
      <c r="C7" s="34"/>
      <c r="E7">
        <f t="shared" si="0"/>
        <v>0</v>
      </c>
      <c r="G7">
        <f t="shared" si="1"/>
        <v>0</v>
      </c>
      <c r="I7">
        <f t="shared" si="2"/>
        <v>0</v>
      </c>
      <c r="K7">
        <f t="shared" si="3"/>
        <v>0</v>
      </c>
      <c r="M7">
        <f t="shared" si="4"/>
        <v>0</v>
      </c>
      <c r="O7">
        <f t="shared" si="5"/>
        <v>0</v>
      </c>
      <c r="Q7">
        <f t="shared" si="6"/>
        <v>0</v>
      </c>
      <c r="S7">
        <f t="shared" si="7"/>
        <v>0</v>
      </c>
    </row>
    <row r="8" spans="2:42" ht="15.6" x14ac:dyDescent="0.35">
      <c r="B8" s="6" t="s">
        <v>24</v>
      </c>
      <c r="C8" s="34"/>
      <c r="E8">
        <f t="shared" si="0"/>
        <v>0</v>
      </c>
      <c r="G8">
        <f t="shared" si="1"/>
        <v>0</v>
      </c>
      <c r="I8">
        <f t="shared" si="2"/>
        <v>0</v>
      </c>
      <c r="K8">
        <f t="shared" si="3"/>
        <v>0</v>
      </c>
      <c r="M8">
        <f t="shared" si="4"/>
        <v>0</v>
      </c>
      <c r="O8">
        <f t="shared" si="5"/>
        <v>0</v>
      </c>
      <c r="Q8">
        <f t="shared" si="6"/>
        <v>0</v>
      </c>
      <c r="S8">
        <f t="shared" si="7"/>
        <v>0</v>
      </c>
    </row>
    <row r="9" spans="2:42" ht="15.6" x14ac:dyDescent="0.35">
      <c r="B9" s="6" t="s">
        <v>6</v>
      </c>
      <c r="C9" s="34"/>
      <c r="E9">
        <f t="shared" si="0"/>
        <v>0</v>
      </c>
      <c r="G9">
        <f t="shared" si="1"/>
        <v>0</v>
      </c>
      <c r="I9">
        <f t="shared" si="2"/>
        <v>0</v>
      </c>
      <c r="K9">
        <f t="shared" si="3"/>
        <v>0</v>
      </c>
      <c r="M9">
        <f t="shared" si="4"/>
        <v>0</v>
      </c>
      <c r="O9">
        <f t="shared" si="5"/>
        <v>0</v>
      </c>
      <c r="Q9">
        <f t="shared" si="6"/>
        <v>0</v>
      </c>
      <c r="S9">
        <f t="shared" si="7"/>
        <v>0</v>
      </c>
    </row>
    <row r="10" spans="2:42" ht="15.6" x14ac:dyDescent="0.35">
      <c r="B10" s="6" t="s">
        <v>7</v>
      </c>
      <c r="C10" s="34"/>
      <c r="E10">
        <f t="shared" si="0"/>
        <v>0</v>
      </c>
      <c r="G10">
        <f t="shared" si="1"/>
        <v>0</v>
      </c>
      <c r="I10">
        <f t="shared" si="2"/>
        <v>0</v>
      </c>
      <c r="K10">
        <f t="shared" si="3"/>
        <v>0</v>
      </c>
      <c r="M10">
        <f t="shared" si="4"/>
        <v>0</v>
      </c>
      <c r="O10">
        <f t="shared" si="5"/>
        <v>0</v>
      </c>
      <c r="Q10">
        <f t="shared" si="6"/>
        <v>0</v>
      </c>
      <c r="S10">
        <f t="shared" si="7"/>
        <v>0</v>
      </c>
    </row>
    <row r="11" spans="2:42" ht="15.6" x14ac:dyDescent="0.35">
      <c r="B11" s="6" t="s">
        <v>8</v>
      </c>
      <c r="C11" s="34"/>
      <c r="E11">
        <f t="shared" si="0"/>
        <v>0</v>
      </c>
      <c r="G11">
        <f t="shared" si="1"/>
        <v>0</v>
      </c>
      <c r="I11">
        <f t="shared" si="2"/>
        <v>0</v>
      </c>
      <c r="K11">
        <f t="shared" si="3"/>
        <v>0</v>
      </c>
      <c r="M11">
        <f t="shared" si="4"/>
        <v>0</v>
      </c>
      <c r="O11">
        <f t="shared" si="5"/>
        <v>0</v>
      </c>
      <c r="Q11">
        <f t="shared" si="6"/>
        <v>0</v>
      </c>
      <c r="S11">
        <f t="shared" si="7"/>
        <v>0</v>
      </c>
    </row>
    <row r="12" spans="2:42" ht="15.6" x14ac:dyDescent="0.35">
      <c r="B12" s="6" t="s">
        <v>21</v>
      </c>
      <c r="C12" s="34"/>
      <c r="E12">
        <f t="shared" si="0"/>
        <v>0</v>
      </c>
      <c r="G12">
        <f t="shared" si="1"/>
        <v>0</v>
      </c>
      <c r="I12">
        <f t="shared" si="2"/>
        <v>0</v>
      </c>
      <c r="K12">
        <f t="shared" si="3"/>
        <v>0</v>
      </c>
      <c r="M12">
        <f t="shared" si="4"/>
        <v>0</v>
      </c>
      <c r="O12">
        <f t="shared" si="5"/>
        <v>0</v>
      </c>
      <c r="Q12">
        <f t="shared" si="6"/>
        <v>0</v>
      </c>
      <c r="S12">
        <f t="shared" si="7"/>
        <v>0</v>
      </c>
    </row>
    <row r="13" spans="2:42" ht="15.6" x14ac:dyDescent="0.35">
      <c r="B13" s="6" t="s">
        <v>22</v>
      </c>
      <c r="C13" s="34"/>
      <c r="E13">
        <f t="shared" si="0"/>
        <v>0</v>
      </c>
      <c r="G13">
        <f t="shared" si="1"/>
        <v>0</v>
      </c>
      <c r="I13">
        <f t="shared" si="2"/>
        <v>0</v>
      </c>
      <c r="K13">
        <f t="shared" si="3"/>
        <v>0</v>
      </c>
      <c r="M13">
        <f t="shared" si="4"/>
        <v>0</v>
      </c>
      <c r="O13">
        <f t="shared" si="5"/>
        <v>0</v>
      </c>
      <c r="Q13">
        <f t="shared" si="6"/>
        <v>0</v>
      </c>
      <c r="S13">
        <f t="shared" si="7"/>
        <v>0</v>
      </c>
    </row>
    <row r="14" spans="2:42" ht="15.6" x14ac:dyDescent="0.35">
      <c r="B14" s="6" t="s">
        <v>30</v>
      </c>
      <c r="C14" s="34"/>
      <c r="E14">
        <f t="shared" si="0"/>
        <v>0</v>
      </c>
      <c r="G14">
        <f t="shared" si="1"/>
        <v>0</v>
      </c>
      <c r="I14">
        <f t="shared" si="2"/>
        <v>0</v>
      </c>
      <c r="K14">
        <f t="shared" si="3"/>
        <v>0</v>
      </c>
      <c r="M14">
        <f t="shared" si="4"/>
        <v>0</v>
      </c>
      <c r="O14">
        <f t="shared" si="5"/>
        <v>0</v>
      </c>
      <c r="Q14">
        <f t="shared" si="6"/>
        <v>0</v>
      </c>
      <c r="S14">
        <f t="shared" si="7"/>
        <v>0</v>
      </c>
    </row>
    <row r="15" spans="2:42" ht="15.6" x14ac:dyDescent="0.35">
      <c r="B15" s="6" t="s">
        <v>31</v>
      </c>
      <c r="C15" s="34"/>
      <c r="E15">
        <f t="shared" si="0"/>
        <v>0</v>
      </c>
      <c r="G15">
        <f t="shared" si="1"/>
        <v>0</v>
      </c>
      <c r="I15">
        <f t="shared" si="2"/>
        <v>0</v>
      </c>
      <c r="K15">
        <f t="shared" si="3"/>
        <v>0</v>
      </c>
      <c r="M15">
        <f t="shared" si="4"/>
        <v>0</v>
      </c>
      <c r="O15">
        <f t="shared" si="5"/>
        <v>0</v>
      </c>
      <c r="Q15">
        <f t="shared" si="6"/>
        <v>0</v>
      </c>
      <c r="S15">
        <f t="shared" si="7"/>
        <v>0</v>
      </c>
    </row>
    <row r="16" spans="2:42" ht="15.6" x14ac:dyDescent="0.35">
      <c r="B16" s="47" t="s">
        <v>76</v>
      </c>
      <c r="E16">
        <f>SUM(E5:E15)</f>
        <v>0</v>
      </c>
      <c r="G16">
        <f>SUM(G5:G15)</f>
        <v>0</v>
      </c>
      <c r="I16">
        <f>SUM(I5:I15)</f>
        <v>0</v>
      </c>
      <c r="K16">
        <f>SUM(K5:K15)</f>
        <v>0</v>
      </c>
      <c r="M16">
        <f>SUM(M5:M15)</f>
        <v>0</v>
      </c>
      <c r="O16">
        <f>SUM(O5:O15)</f>
        <v>0</v>
      </c>
      <c r="Q16">
        <f>SUM(Q5:Q15)</f>
        <v>0</v>
      </c>
      <c r="S16">
        <f>SUM(S5:S15)</f>
        <v>0</v>
      </c>
    </row>
  </sheetData>
  <mergeCells count="10">
    <mergeCell ref="L2:M2"/>
    <mergeCell ref="N2:O2"/>
    <mergeCell ref="P2:Q2"/>
    <mergeCell ref="R2:S2"/>
    <mergeCell ref="AI2:AL2"/>
    <mergeCell ref="AM2:AP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6"/>
  <sheetViews>
    <sheetView workbookViewId="0">
      <selection activeCell="I5" sqref="I5"/>
    </sheetView>
  </sheetViews>
  <sheetFormatPr defaultRowHeight="14" x14ac:dyDescent="0.3"/>
  <cols>
    <col min="1" max="1" width="4.8984375" customWidth="1"/>
    <col min="2" max="2" width="23" customWidth="1"/>
    <col min="3" max="3" width="9.59765625" customWidth="1"/>
    <col min="4" max="4" width="10" customWidth="1"/>
    <col min="5" max="5" width="9.3984375" customWidth="1"/>
    <col min="6" max="8" width="9.8984375" customWidth="1"/>
    <col min="9" max="9" width="11.3984375" bestFit="1" customWidth="1"/>
  </cols>
  <sheetData>
    <row r="2" spans="1:13" ht="18.3" x14ac:dyDescent="0.4">
      <c r="A2" s="38" t="s">
        <v>25</v>
      </c>
      <c r="B2" s="38"/>
      <c r="C2" s="38"/>
      <c r="D2" s="38"/>
      <c r="E2" s="38"/>
      <c r="F2" s="38"/>
      <c r="G2" s="38"/>
      <c r="H2" s="38"/>
    </row>
    <row r="3" spans="1:13" ht="46.75" x14ac:dyDescent="0.3">
      <c r="A3" s="4" t="s">
        <v>0</v>
      </c>
      <c r="B3" s="4" t="s">
        <v>1</v>
      </c>
      <c r="C3" s="5" t="s">
        <v>9</v>
      </c>
      <c r="D3" s="5" t="s">
        <v>10</v>
      </c>
      <c r="E3" s="5" t="s">
        <v>27</v>
      </c>
      <c r="F3" s="5" t="s">
        <v>14</v>
      </c>
      <c r="G3" s="5" t="s">
        <v>28</v>
      </c>
      <c r="H3" s="5" t="s">
        <v>29</v>
      </c>
      <c r="I3" s="25" t="s">
        <v>61</v>
      </c>
    </row>
    <row r="4" spans="1:13" ht="31.2" x14ac:dyDescent="0.35">
      <c r="A4" s="4">
        <v>1</v>
      </c>
      <c r="B4" s="7" t="s">
        <v>23</v>
      </c>
      <c r="C4" s="4">
        <v>3</v>
      </c>
      <c r="D4" s="4">
        <v>58</v>
      </c>
      <c r="E4" s="4">
        <v>110</v>
      </c>
      <c r="F4" s="4">
        <f>D4*E4</f>
        <v>6380</v>
      </c>
      <c r="G4" s="4">
        <v>125</v>
      </c>
      <c r="H4" s="4">
        <f>D4*G4</f>
        <v>7250</v>
      </c>
      <c r="I4" s="3">
        <v>19.5</v>
      </c>
    </row>
    <row r="5" spans="1:13" ht="31.2" x14ac:dyDescent="0.35">
      <c r="A5" s="4">
        <v>2</v>
      </c>
      <c r="B5" s="8" t="s">
        <v>2</v>
      </c>
      <c r="C5" s="4">
        <v>4</v>
      </c>
      <c r="D5" s="4">
        <v>51.35</v>
      </c>
      <c r="E5" s="4">
        <v>110</v>
      </c>
      <c r="F5" s="4">
        <f t="shared" ref="F5:F16" si="0">D5*E5</f>
        <v>5648.5</v>
      </c>
      <c r="G5" s="4">
        <v>125</v>
      </c>
      <c r="H5" s="4">
        <f t="shared" ref="H5:H16" si="1">D5*G5</f>
        <v>6418.75</v>
      </c>
      <c r="I5" s="3">
        <f>D5/C5</f>
        <v>12.8375</v>
      </c>
    </row>
    <row r="6" spans="1:13" ht="15.6" x14ac:dyDescent="0.35">
      <c r="A6" s="4">
        <v>3</v>
      </c>
      <c r="B6" s="6" t="s">
        <v>3</v>
      </c>
      <c r="C6" s="4">
        <v>7</v>
      </c>
      <c r="D6" s="4">
        <v>2.4500000000000002</v>
      </c>
      <c r="E6" s="4">
        <v>120</v>
      </c>
      <c r="F6" s="4">
        <f t="shared" si="0"/>
        <v>294</v>
      </c>
      <c r="G6" s="4">
        <v>120</v>
      </c>
      <c r="H6" s="4">
        <f t="shared" si="1"/>
        <v>294</v>
      </c>
    </row>
    <row r="7" spans="1:13" ht="15.6" x14ac:dyDescent="0.35">
      <c r="A7" s="4">
        <v>4</v>
      </c>
      <c r="B7" s="6" t="s">
        <v>4</v>
      </c>
      <c r="C7" s="4">
        <v>12</v>
      </c>
      <c r="D7" s="4">
        <v>12</v>
      </c>
      <c r="E7" s="4">
        <v>10</v>
      </c>
      <c r="F7" s="4">
        <f t="shared" si="0"/>
        <v>120</v>
      </c>
      <c r="G7" s="4">
        <v>10</v>
      </c>
      <c r="H7" s="4">
        <f t="shared" si="1"/>
        <v>120</v>
      </c>
      <c r="M7" s="3"/>
    </row>
    <row r="8" spans="1:13" ht="15.6" x14ac:dyDescent="0.35">
      <c r="A8" s="4">
        <v>5</v>
      </c>
      <c r="B8" s="6" t="s">
        <v>5</v>
      </c>
      <c r="C8" s="4">
        <v>6</v>
      </c>
      <c r="D8" s="4">
        <v>6</v>
      </c>
      <c r="E8" s="4">
        <v>4</v>
      </c>
      <c r="F8" s="4">
        <f t="shared" si="0"/>
        <v>24</v>
      </c>
      <c r="G8" s="4">
        <v>4</v>
      </c>
      <c r="H8" s="4">
        <f t="shared" si="1"/>
        <v>24</v>
      </c>
    </row>
    <row r="9" spans="1:13" ht="15.6" x14ac:dyDescent="0.35">
      <c r="A9" s="4">
        <v>6</v>
      </c>
      <c r="B9" s="6" t="s">
        <v>24</v>
      </c>
      <c r="C9" s="4">
        <v>10</v>
      </c>
      <c r="D9" s="4">
        <v>10</v>
      </c>
      <c r="E9" s="4">
        <v>4</v>
      </c>
      <c r="F9" s="4">
        <f t="shared" si="0"/>
        <v>40</v>
      </c>
      <c r="G9" s="4">
        <v>4</v>
      </c>
      <c r="H9" s="4">
        <f t="shared" si="1"/>
        <v>40</v>
      </c>
    </row>
    <row r="10" spans="1:13" ht="15.6" x14ac:dyDescent="0.35">
      <c r="A10" s="4">
        <v>7</v>
      </c>
      <c r="B10" s="6" t="s">
        <v>6</v>
      </c>
      <c r="C10" s="4" t="s">
        <v>20</v>
      </c>
      <c r="D10" s="4">
        <v>1</v>
      </c>
      <c r="E10" s="4">
        <v>380</v>
      </c>
      <c r="F10" s="4">
        <f t="shared" si="0"/>
        <v>380</v>
      </c>
      <c r="G10" s="4">
        <v>380</v>
      </c>
      <c r="H10" s="4">
        <f t="shared" si="1"/>
        <v>380</v>
      </c>
    </row>
    <row r="11" spans="1:13" ht="15.6" x14ac:dyDescent="0.35">
      <c r="A11" s="4">
        <v>8</v>
      </c>
      <c r="B11" s="6" t="s">
        <v>7</v>
      </c>
      <c r="C11" s="4" t="s">
        <v>20</v>
      </c>
      <c r="D11" s="4">
        <v>1</v>
      </c>
      <c r="E11" s="4">
        <v>140</v>
      </c>
      <c r="F11" s="4">
        <f t="shared" si="0"/>
        <v>140</v>
      </c>
      <c r="G11" s="4">
        <v>140</v>
      </c>
      <c r="H11" s="4">
        <f>D11*G11</f>
        <v>140</v>
      </c>
    </row>
    <row r="12" spans="1:13" ht="15.6" x14ac:dyDescent="0.35">
      <c r="A12" s="4">
        <v>9</v>
      </c>
      <c r="B12" s="6" t="s">
        <v>8</v>
      </c>
      <c r="C12" s="4">
        <v>1</v>
      </c>
      <c r="D12" s="4">
        <v>1</v>
      </c>
      <c r="E12" s="4">
        <v>100</v>
      </c>
      <c r="F12" s="4">
        <f t="shared" si="0"/>
        <v>100</v>
      </c>
      <c r="G12" s="4">
        <v>100</v>
      </c>
      <c r="H12" s="4">
        <f t="shared" si="1"/>
        <v>100</v>
      </c>
    </row>
    <row r="13" spans="1:13" ht="15.6" x14ac:dyDescent="0.35">
      <c r="A13" s="4">
        <v>10</v>
      </c>
      <c r="B13" s="6" t="s">
        <v>21</v>
      </c>
      <c r="C13" s="4">
        <v>6</v>
      </c>
      <c r="D13" s="4">
        <v>6</v>
      </c>
      <c r="E13" s="4">
        <v>120</v>
      </c>
      <c r="F13" s="4">
        <f t="shared" si="0"/>
        <v>720</v>
      </c>
      <c r="G13" s="4">
        <v>120</v>
      </c>
      <c r="H13" s="4">
        <f t="shared" si="1"/>
        <v>720</v>
      </c>
    </row>
    <row r="14" spans="1:13" ht="15.6" x14ac:dyDescent="0.35">
      <c r="A14" s="4">
        <v>11</v>
      </c>
      <c r="B14" s="6" t="s">
        <v>22</v>
      </c>
      <c r="C14" s="4">
        <v>2</v>
      </c>
      <c r="D14" s="4">
        <v>2</v>
      </c>
      <c r="E14" s="4">
        <v>350</v>
      </c>
      <c r="F14" s="4">
        <f t="shared" si="0"/>
        <v>700</v>
      </c>
      <c r="G14" s="4">
        <v>350</v>
      </c>
      <c r="H14" s="4">
        <f t="shared" si="1"/>
        <v>700</v>
      </c>
    </row>
    <row r="15" spans="1:13" ht="15.6" x14ac:dyDescent="0.35">
      <c r="A15" s="6">
        <v>12</v>
      </c>
      <c r="B15" s="14" t="s">
        <v>33</v>
      </c>
      <c r="C15" s="10">
        <v>60</v>
      </c>
      <c r="D15" s="10">
        <v>60</v>
      </c>
      <c r="E15" s="10">
        <v>3</v>
      </c>
      <c r="F15" s="10">
        <f t="shared" si="0"/>
        <v>180</v>
      </c>
      <c r="G15" s="10">
        <v>3</v>
      </c>
      <c r="H15" s="10">
        <f t="shared" si="1"/>
        <v>180</v>
      </c>
    </row>
    <row r="16" spans="1:13" ht="15.6" x14ac:dyDescent="0.35">
      <c r="A16" s="6">
        <v>13</v>
      </c>
      <c r="B16" s="14" t="s">
        <v>31</v>
      </c>
      <c r="C16" s="10">
        <v>6</v>
      </c>
      <c r="D16" s="10">
        <v>6</v>
      </c>
      <c r="E16" s="10">
        <v>15</v>
      </c>
      <c r="F16" s="10">
        <f t="shared" si="0"/>
        <v>90</v>
      </c>
      <c r="G16" s="10">
        <v>15</v>
      </c>
      <c r="H16" s="10">
        <f t="shared" si="1"/>
        <v>90</v>
      </c>
    </row>
    <row r="17" spans="1:8" ht="18.3" x14ac:dyDescent="0.3">
      <c r="A17" s="1"/>
      <c r="B17" s="35" t="s">
        <v>15</v>
      </c>
      <c r="C17" s="36"/>
      <c r="D17" s="36"/>
      <c r="E17" s="37"/>
      <c r="F17" s="11">
        <f>SUM(F4:F16)</f>
        <v>14816.5</v>
      </c>
      <c r="G17" s="12"/>
      <c r="H17" s="11">
        <f>SUM(H4:H16)</f>
        <v>16456.75</v>
      </c>
    </row>
    <row r="20" spans="1:8" ht="18.3" x14ac:dyDescent="0.4">
      <c r="A20" s="38" t="s">
        <v>26</v>
      </c>
      <c r="B20" s="38"/>
      <c r="C20" s="38"/>
      <c r="D20" s="38"/>
      <c r="E20" s="38"/>
      <c r="F20" s="38"/>
      <c r="G20" s="38"/>
      <c r="H20" s="38"/>
    </row>
    <row r="21" spans="1:8" ht="46.75" x14ac:dyDescent="0.3">
      <c r="A21" s="4" t="s">
        <v>0</v>
      </c>
      <c r="B21" s="4" t="s">
        <v>1</v>
      </c>
      <c r="C21" s="5" t="s">
        <v>9</v>
      </c>
      <c r="D21" s="5" t="s">
        <v>10</v>
      </c>
      <c r="E21" s="5" t="s">
        <v>11</v>
      </c>
      <c r="F21" s="5" t="s">
        <v>13</v>
      </c>
      <c r="G21" s="5" t="s">
        <v>12</v>
      </c>
      <c r="H21" s="5" t="s">
        <v>14</v>
      </c>
    </row>
    <row r="22" spans="1:8" ht="31.2" x14ac:dyDescent="0.35">
      <c r="A22" s="4">
        <v>1</v>
      </c>
      <c r="B22" s="8" t="s">
        <v>17</v>
      </c>
      <c r="C22" s="4">
        <v>2</v>
      </c>
      <c r="D22" s="4">
        <v>38.67</v>
      </c>
      <c r="E22" s="4">
        <v>110</v>
      </c>
      <c r="F22" s="4">
        <f>D22*E22</f>
        <v>4253.7</v>
      </c>
      <c r="G22" s="4">
        <v>125</v>
      </c>
      <c r="H22" s="4">
        <f>D22*G22</f>
        <v>4833.75</v>
      </c>
    </row>
    <row r="23" spans="1:8" ht="31.2" x14ac:dyDescent="0.35">
      <c r="A23" s="4">
        <v>2</v>
      </c>
      <c r="B23" s="8" t="s">
        <v>2</v>
      </c>
      <c r="C23" s="4">
        <v>2.5</v>
      </c>
      <c r="D23" s="4">
        <v>32</v>
      </c>
      <c r="E23" s="4">
        <v>110</v>
      </c>
      <c r="F23" s="4">
        <f t="shared" ref="F23:F34" si="2">D23*E23</f>
        <v>3520</v>
      </c>
      <c r="G23" s="4">
        <v>125</v>
      </c>
      <c r="H23" s="4">
        <f t="shared" ref="H23:H28" si="3">D23*G23</f>
        <v>4000</v>
      </c>
    </row>
    <row r="24" spans="1:8" ht="15.6" x14ac:dyDescent="0.35">
      <c r="A24" s="4">
        <v>3</v>
      </c>
      <c r="B24" s="6" t="s">
        <v>3</v>
      </c>
      <c r="C24" s="4">
        <v>5</v>
      </c>
      <c r="D24" s="4">
        <v>1.75</v>
      </c>
      <c r="E24" s="4">
        <v>120</v>
      </c>
      <c r="F24" s="4">
        <f t="shared" si="2"/>
        <v>210</v>
      </c>
      <c r="G24" s="4">
        <v>120</v>
      </c>
      <c r="H24" s="4">
        <f t="shared" si="3"/>
        <v>210</v>
      </c>
    </row>
    <row r="25" spans="1:8" ht="15.6" x14ac:dyDescent="0.35">
      <c r="A25" s="4">
        <v>4</v>
      </c>
      <c r="B25" s="6" t="s">
        <v>4</v>
      </c>
      <c r="C25" s="4">
        <v>8</v>
      </c>
      <c r="D25" s="4">
        <v>8</v>
      </c>
      <c r="E25" s="4">
        <v>10</v>
      </c>
      <c r="F25" s="4">
        <f t="shared" si="2"/>
        <v>80</v>
      </c>
      <c r="G25" s="4">
        <v>10</v>
      </c>
      <c r="H25" s="4">
        <f t="shared" si="3"/>
        <v>80</v>
      </c>
    </row>
    <row r="26" spans="1:8" ht="15.6" x14ac:dyDescent="0.35">
      <c r="A26" s="4">
        <v>5</v>
      </c>
      <c r="B26" s="6" t="s">
        <v>5</v>
      </c>
      <c r="C26" s="4">
        <v>4</v>
      </c>
      <c r="D26" s="4">
        <v>4</v>
      </c>
      <c r="E26" s="4">
        <v>4</v>
      </c>
      <c r="F26" s="4">
        <f t="shared" si="2"/>
        <v>16</v>
      </c>
      <c r="G26" s="4">
        <v>4</v>
      </c>
      <c r="H26" s="4">
        <f t="shared" si="3"/>
        <v>16</v>
      </c>
    </row>
    <row r="27" spans="1:8" ht="15.6" x14ac:dyDescent="0.35">
      <c r="A27" s="4">
        <v>6</v>
      </c>
      <c r="B27" s="6" t="s">
        <v>24</v>
      </c>
      <c r="C27" s="4">
        <v>10</v>
      </c>
      <c r="D27" s="4">
        <v>10</v>
      </c>
      <c r="E27" s="4">
        <v>4</v>
      </c>
      <c r="F27" s="4">
        <f t="shared" si="2"/>
        <v>40</v>
      </c>
      <c r="G27" s="4">
        <v>4</v>
      </c>
      <c r="H27" s="4">
        <f t="shared" si="3"/>
        <v>40</v>
      </c>
    </row>
    <row r="28" spans="1:8" ht="15.6" x14ac:dyDescent="0.35">
      <c r="A28" s="4">
        <v>7</v>
      </c>
      <c r="B28" s="6" t="s">
        <v>6</v>
      </c>
      <c r="C28" s="9" t="s">
        <v>19</v>
      </c>
      <c r="D28" s="4">
        <v>0.5</v>
      </c>
      <c r="E28" s="4">
        <v>380</v>
      </c>
      <c r="F28" s="4">
        <f t="shared" si="2"/>
        <v>190</v>
      </c>
      <c r="G28" s="4">
        <v>380</v>
      </c>
      <c r="H28" s="4">
        <f t="shared" si="3"/>
        <v>190</v>
      </c>
    </row>
    <row r="29" spans="1:8" ht="15.6" x14ac:dyDescent="0.35">
      <c r="A29" s="4">
        <v>8</v>
      </c>
      <c r="B29" s="6" t="s">
        <v>7</v>
      </c>
      <c r="C29" s="4" t="s">
        <v>19</v>
      </c>
      <c r="D29" s="4">
        <v>0.5</v>
      </c>
      <c r="E29" s="4">
        <v>140</v>
      </c>
      <c r="F29" s="4">
        <f t="shared" si="2"/>
        <v>70</v>
      </c>
      <c r="G29" s="4">
        <v>140</v>
      </c>
      <c r="H29" s="4">
        <f>D29*G29</f>
        <v>70</v>
      </c>
    </row>
    <row r="30" spans="1:8" ht="15.6" x14ac:dyDescent="0.35">
      <c r="A30" s="4">
        <v>9</v>
      </c>
      <c r="B30" s="6" t="s">
        <v>8</v>
      </c>
      <c r="C30" s="4">
        <v>1</v>
      </c>
      <c r="D30" s="4">
        <v>1</v>
      </c>
      <c r="E30" s="4">
        <v>100</v>
      </c>
      <c r="F30" s="4">
        <f t="shared" si="2"/>
        <v>100</v>
      </c>
      <c r="G30" s="4">
        <v>100</v>
      </c>
      <c r="H30" s="4">
        <f t="shared" ref="H30:H34" si="4">D30*G30</f>
        <v>100</v>
      </c>
    </row>
    <row r="31" spans="1:8" ht="15.6" x14ac:dyDescent="0.35">
      <c r="A31" s="4">
        <v>10</v>
      </c>
      <c r="B31" s="6" t="s">
        <v>21</v>
      </c>
      <c r="C31" s="4">
        <v>4</v>
      </c>
      <c r="D31" s="4">
        <v>4</v>
      </c>
      <c r="E31" s="4">
        <v>120</v>
      </c>
      <c r="F31" s="4">
        <f t="shared" si="2"/>
        <v>480</v>
      </c>
      <c r="G31" s="4">
        <v>120</v>
      </c>
      <c r="H31" s="4">
        <f t="shared" si="4"/>
        <v>480</v>
      </c>
    </row>
    <row r="32" spans="1:8" ht="15.6" x14ac:dyDescent="0.35">
      <c r="A32" s="4">
        <v>11</v>
      </c>
      <c r="B32" s="6" t="s">
        <v>22</v>
      </c>
      <c r="C32" s="4">
        <v>1</v>
      </c>
      <c r="D32" s="4">
        <v>1</v>
      </c>
      <c r="E32" s="4">
        <v>350</v>
      </c>
      <c r="F32" s="4">
        <f t="shared" si="2"/>
        <v>350</v>
      </c>
      <c r="G32" s="4">
        <v>350</v>
      </c>
      <c r="H32" s="4">
        <f t="shared" si="4"/>
        <v>350</v>
      </c>
    </row>
    <row r="33" spans="1:8" ht="15.6" x14ac:dyDescent="0.35">
      <c r="A33" s="6">
        <v>12</v>
      </c>
      <c r="B33" s="14" t="s">
        <v>33</v>
      </c>
      <c r="C33" s="10">
        <v>40</v>
      </c>
      <c r="D33" s="10">
        <v>40</v>
      </c>
      <c r="E33" s="10">
        <v>3</v>
      </c>
      <c r="F33" s="10">
        <f t="shared" si="2"/>
        <v>120</v>
      </c>
      <c r="G33" s="10">
        <v>3</v>
      </c>
      <c r="H33" s="10">
        <f t="shared" si="4"/>
        <v>120</v>
      </c>
    </row>
    <row r="34" spans="1:8" ht="15.6" x14ac:dyDescent="0.35">
      <c r="A34" s="6">
        <v>13</v>
      </c>
      <c r="B34" s="14" t="s">
        <v>31</v>
      </c>
      <c r="C34" s="10">
        <v>4</v>
      </c>
      <c r="D34" s="10">
        <v>4</v>
      </c>
      <c r="E34" s="10">
        <v>15</v>
      </c>
      <c r="F34" s="10">
        <f t="shared" si="2"/>
        <v>60</v>
      </c>
      <c r="G34" s="10">
        <v>15</v>
      </c>
      <c r="H34" s="10">
        <f t="shared" si="4"/>
        <v>60</v>
      </c>
    </row>
    <row r="35" spans="1:8" x14ac:dyDescent="0.3">
      <c r="A35" s="1"/>
      <c r="B35" s="1"/>
      <c r="C35" s="2"/>
      <c r="D35" s="2"/>
      <c r="E35" s="2"/>
      <c r="F35" s="2"/>
      <c r="G35" s="2"/>
      <c r="H35" s="2"/>
    </row>
    <row r="36" spans="1:8" ht="18.3" x14ac:dyDescent="0.3">
      <c r="A36" s="1"/>
      <c r="B36" s="39" t="s">
        <v>15</v>
      </c>
      <c r="C36" s="39"/>
      <c r="D36" s="39"/>
      <c r="E36" s="39"/>
      <c r="F36" s="11">
        <f>SUM(F22:F30)</f>
        <v>8479.7000000000007</v>
      </c>
      <c r="G36" s="12"/>
      <c r="H36" s="13">
        <f>SUM(H22:H30)</f>
        <v>9539.75</v>
      </c>
    </row>
  </sheetData>
  <mergeCells count="4">
    <mergeCell ref="A2:H2"/>
    <mergeCell ref="B17:E17"/>
    <mergeCell ref="A20:H20"/>
    <mergeCell ref="B36:E3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2"/>
  <sheetViews>
    <sheetView topLeftCell="A16" workbookViewId="0">
      <selection activeCell="D35" sqref="D35"/>
    </sheetView>
  </sheetViews>
  <sheetFormatPr defaultRowHeight="14" x14ac:dyDescent="0.3"/>
  <cols>
    <col min="1" max="1" width="4.8984375" customWidth="1"/>
    <col min="2" max="2" width="33" customWidth="1"/>
    <col min="3" max="3" width="14.69921875" customWidth="1"/>
    <col min="4" max="4" width="12.3984375" customWidth="1"/>
    <col min="5" max="6" width="9.8984375" customWidth="1"/>
  </cols>
  <sheetData>
    <row r="3" spans="1:6" ht="18.3" x14ac:dyDescent="0.4">
      <c r="A3" s="38" t="s">
        <v>44</v>
      </c>
      <c r="B3" s="38"/>
      <c r="C3" s="38"/>
      <c r="D3" s="38"/>
      <c r="E3" s="38"/>
      <c r="F3" s="38"/>
    </row>
    <row r="4" spans="1:6" ht="31.2" x14ac:dyDescent="0.3">
      <c r="A4" s="4" t="s">
        <v>0</v>
      </c>
      <c r="B4" s="4" t="s">
        <v>1</v>
      </c>
      <c r="C4" s="5" t="s">
        <v>9</v>
      </c>
      <c r="D4" s="5" t="s">
        <v>10</v>
      </c>
      <c r="E4" s="5" t="s">
        <v>12</v>
      </c>
      <c r="F4" s="5" t="s">
        <v>14</v>
      </c>
    </row>
    <row r="5" spans="1:6" ht="15.6" x14ac:dyDescent="0.35">
      <c r="A5" s="4">
        <v>1</v>
      </c>
      <c r="B5" s="8" t="s">
        <v>35</v>
      </c>
      <c r="C5" s="4">
        <v>3</v>
      </c>
      <c r="D5" s="4">
        <v>38</v>
      </c>
      <c r="E5" s="4">
        <v>85</v>
      </c>
      <c r="F5" s="4">
        <f t="shared" ref="F5:F13" si="0">D5*E5</f>
        <v>3230</v>
      </c>
    </row>
    <row r="6" spans="1:6" ht="15.6" x14ac:dyDescent="0.35">
      <c r="A6" s="4">
        <v>2</v>
      </c>
      <c r="B6" s="8" t="s">
        <v>36</v>
      </c>
      <c r="C6" s="4">
        <v>2</v>
      </c>
      <c r="D6" s="4">
        <v>13</v>
      </c>
      <c r="E6" s="4">
        <v>85</v>
      </c>
      <c r="F6" s="4">
        <f t="shared" si="0"/>
        <v>1105</v>
      </c>
    </row>
    <row r="7" spans="1:6" ht="15.6" x14ac:dyDescent="0.35">
      <c r="A7" s="4">
        <v>3</v>
      </c>
      <c r="B7" s="6" t="s">
        <v>38</v>
      </c>
      <c r="C7" s="4">
        <v>6</v>
      </c>
      <c r="D7" s="4">
        <v>6</v>
      </c>
      <c r="E7" s="4">
        <v>4</v>
      </c>
      <c r="F7" s="4">
        <f t="shared" si="0"/>
        <v>24</v>
      </c>
    </row>
    <row r="8" spans="1:6" ht="15.6" x14ac:dyDescent="0.35">
      <c r="A8" s="4">
        <v>4</v>
      </c>
      <c r="B8" s="6" t="s">
        <v>39</v>
      </c>
      <c r="C8" s="4">
        <v>20</v>
      </c>
      <c r="D8" s="4">
        <v>20</v>
      </c>
      <c r="E8" s="4">
        <v>4</v>
      </c>
      <c r="F8" s="4">
        <f t="shared" si="0"/>
        <v>80</v>
      </c>
    </row>
    <row r="9" spans="1:6" ht="15.6" x14ac:dyDescent="0.35">
      <c r="A9" s="4">
        <v>5</v>
      </c>
      <c r="B9" s="6" t="s">
        <v>6</v>
      </c>
      <c r="C9" s="9" t="s">
        <v>19</v>
      </c>
      <c r="D9" s="4">
        <v>0.5</v>
      </c>
      <c r="E9" s="4">
        <v>380</v>
      </c>
      <c r="F9" s="4">
        <f t="shared" si="0"/>
        <v>190</v>
      </c>
    </row>
    <row r="10" spans="1:6" ht="15.6" x14ac:dyDescent="0.35">
      <c r="A10" s="4">
        <v>6</v>
      </c>
      <c r="B10" s="6" t="s">
        <v>7</v>
      </c>
      <c r="C10" s="4" t="s">
        <v>19</v>
      </c>
      <c r="D10" s="4">
        <v>0.5</v>
      </c>
      <c r="E10" s="4">
        <v>140</v>
      </c>
      <c r="F10" s="4">
        <f t="shared" si="0"/>
        <v>70</v>
      </c>
    </row>
    <row r="11" spans="1:6" ht="15.6" x14ac:dyDescent="0.35">
      <c r="A11" s="4">
        <v>7</v>
      </c>
      <c r="B11" s="6" t="s">
        <v>8</v>
      </c>
      <c r="C11" s="4">
        <v>1</v>
      </c>
      <c r="D11" s="4">
        <v>1</v>
      </c>
      <c r="E11" s="4">
        <v>100</v>
      </c>
      <c r="F11" s="4">
        <f t="shared" si="0"/>
        <v>100</v>
      </c>
    </row>
    <row r="12" spans="1:6" ht="15.6" x14ac:dyDescent="0.35">
      <c r="A12" s="4">
        <v>8</v>
      </c>
      <c r="B12" s="6" t="s">
        <v>30</v>
      </c>
      <c r="C12" s="4" t="s">
        <v>40</v>
      </c>
      <c r="D12" s="4">
        <v>50</v>
      </c>
      <c r="E12" s="4">
        <v>3</v>
      </c>
      <c r="F12" s="4">
        <f t="shared" si="0"/>
        <v>150</v>
      </c>
    </row>
    <row r="13" spans="1:6" ht="15.6" x14ac:dyDescent="0.35">
      <c r="A13" s="4">
        <v>9</v>
      </c>
      <c r="B13" s="6" t="s">
        <v>31</v>
      </c>
      <c r="C13" s="4">
        <v>5</v>
      </c>
      <c r="D13" s="4">
        <v>5</v>
      </c>
      <c r="E13" s="4">
        <v>15</v>
      </c>
      <c r="F13" s="4">
        <f t="shared" si="0"/>
        <v>75</v>
      </c>
    </row>
    <row r="14" spans="1:6" x14ac:dyDescent="0.3">
      <c r="A14" s="1"/>
      <c r="B14" s="1"/>
      <c r="C14" s="2"/>
      <c r="D14" s="2"/>
      <c r="E14" s="2"/>
      <c r="F14" s="2"/>
    </row>
    <row r="15" spans="1:6" ht="18.3" x14ac:dyDescent="0.3">
      <c r="A15" s="1"/>
      <c r="B15" s="39" t="s">
        <v>45</v>
      </c>
      <c r="C15" s="39"/>
      <c r="D15" s="39"/>
      <c r="E15" s="12"/>
      <c r="F15" s="13">
        <f>SUM(F5:F14)</f>
        <v>5024</v>
      </c>
    </row>
    <row r="16" spans="1:6" ht="18.3" x14ac:dyDescent="0.3">
      <c r="A16" s="15"/>
      <c r="B16" s="16"/>
      <c r="C16" s="16"/>
      <c r="D16" s="16"/>
      <c r="E16" s="17"/>
      <c r="F16" s="18"/>
    </row>
    <row r="17" spans="1:8" ht="18.3" x14ac:dyDescent="0.3">
      <c r="A17" s="15"/>
      <c r="B17" s="16" t="s">
        <v>41</v>
      </c>
      <c r="C17" s="16"/>
      <c r="D17" s="22">
        <f>F15/6</f>
        <v>837.33333333333337</v>
      </c>
      <c r="E17" s="17"/>
      <c r="F17" s="18"/>
    </row>
    <row r="18" spans="1:8" ht="18.3" x14ac:dyDescent="0.3">
      <c r="A18" s="15"/>
      <c r="B18" s="16"/>
      <c r="C18" s="16"/>
      <c r="D18" s="16"/>
      <c r="E18" s="17"/>
      <c r="F18" s="18"/>
    </row>
    <row r="20" spans="1:8" ht="18.3" x14ac:dyDescent="0.4">
      <c r="A20" s="38" t="s">
        <v>43</v>
      </c>
      <c r="B20" s="38"/>
      <c r="C20" s="38"/>
      <c r="D20" s="38"/>
      <c r="E20" s="38"/>
      <c r="F20" s="38"/>
    </row>
    <row r="21" spans="1:8" ht="31.2" x14ac:dyDescent="0.3">
      <c r="A21" s="4" t="s">
        <v>0</v>
      </c>
      <c r="B21" s="4" t="s">
        <v>1</v>
      </c>
      <c r="C21" s="5" t="s">
        <v>9</v>
      </c>
      <c r="D21" s="5" t="s">
        <v>10</v>
      </c>
      <c r="E21" s="5" t="s">
        <v>12</v>
      </c>
      <c r="F21" s="5" t="s">
        <v>14</v>
      </c>
    </row>
    <row r="22" spans="1:8" ht="15.6" x14ac:dyDescent="0.35">
      <c r="A22" s="4">
        <v>1</v>
      </c>
      <c r="B22" s="8" t="s">
        <v>37</v>
      </c>
      <c r="C22" s="4">
        <v>3</v>
      </c>
      <c r="D22" s="4">
        <v>30</v>
      </c>
      <c r="E22" s="4">
        <v>85</v>
      </c>
      <c r="F22" s="4">
        <f>D22*E22</f>
        <v>2550</v>
      </c>
    </row>
    <row r="23" spans="1:8" ht="15.6" x14ac:dyDescent="0.35">
      <c r="A23" s="4">
        <v>2</v>
      </c>
      <c r="B23" s="6" t="s">
        <v>24</v>
      </c>
      <c r="C23" s="4">
        <v>6</v>
      </c>
      <c r="D23" s="4">
        <v>6</v>
      </c>
      <c r="E23" s="4">
        <v>4</v>
      </c>
      <c r="F23" s="4">
        <f t="shared" ref="F23:F28" si="1">D23*E23</f>
        <v>24</v>
      </c>
    </row>
    <row r="24" spans="1:8" ht="15.6" x14ac:dyDescent="0.35">
      <c r="A24" s="4">
        <v>3</v>
      </c>
      <c r="B24" s="6" t="s">
        <v>6</v>
      </c>
      <c r="C24" s="9" t="s">
        <v>19</v>
      </c>
      <c r="D24" s="4">
        <v>0.5</v>
      </c>
      <c r="E24" s="4">
        <v>380</v>
      </c>
      <c r="F24" s="4">
        <f t="shared" si="1"/>
        <v>190</v>
      </c>
    </row>
    <row r="25" spans="1:8" ht="15.6" x14ac:dyDescent="0.35">
      <c r="A25" s="4">
        <v>4</v>
      </c>
      <c r="B25" s="6" t="s">
        <v>7</v>
      </c>
      <c r="C25" s="4" t="s">
        <v>19</v>
      </c>
      <c r="D25" s="4">
        <v>0.5</v>
      </c>
      <c r="E25" s="4">
        <v>140</v>
      </c>
      <c r="F25" s="4">
        <f t="shared" si="1"/>
        <v>70</v>
      </c>
    </row>
    <row r="26" spans="1:8" ht="15.6" x14ac:dyDescent="0.35">
      <c r="A26" s="4">
        <v>5</v>
      </c>
      <c r="B26" s="6" t="s">
        <v>8</v>
      </c>
      <c r="C26" s="4">
        <v>1</v>
      </c>
      <c r="D26" s="4">
        <v>1</v>
      </c>
      <c r="E26" s="4">
        <v>100</v>
      </c>
      <c r="F26" s="4">
        <f t="shared" si="1"/>
        <v>100</v>
      </c>
    </row>
    <row r="27" spans="1:8" ht="15.6" x14ac:dyDescent="0.35">
      <c r="A27" s="4">
        <v>6</v>
      </c>
      <c r="B27" s="6" t="s">
        <v>30</v>
      </c>
      <c r="C27" s="4" t="s">
        <v>40</v>
      </c>
      <c r="D27" s="4">
        <v>50</v>
      </c>
      <c r="E27" s="4">
        <v>3</v>
      </c>
      <c r="F27" s="4">
        <f t="shared" si="1"/>
        <v>150</v>
      </c>
    </row>
    <row r="28" spans="1:8" ht="15.6" x14ac:dyDescent="0.35">
      <c r="A28" s="4">
        <v>7</v>
      </c>
      <c r="B28" s="6" t="s">
        <v>31</v>
      </c>
      <c r="C28" s="4">
        <v>5</v>
      </c>
      <c r="D28" s="4">
        <v>10</v>
      </c>
      <c r="E28" s="4">
        <v>15</v>
      </c>
      <c r="F28" s="4">
        <f t="shared" si="1"/>
        <v>150</v>
      </c>
    </row>
    <row r="29" spans="1:8" x14ac:dyDescent="0.3">
      <c r="A29" s="1"/>
      <c r="B29" s="1"/>
      <c r="C29" s="2"/>
      <c r="D29" s="2"/>
      <c r="E29" s="2"/>
      <c r="F29" s="2"/>
    </row>
    <row r="30" spans="1:8" ht="18.3" x14ac:dyDescent="0.35">
      <c r="A30" s="1"/>
      <c r="B30" s="39" t="s">
        <v>46</v>
      </c>
      <c r="C30" s="39"/>
      <c r="D30" s="39"/>
      <c r="E30" s="12"/>
      <c r="F30" s="13">
        <f>SUM(F22:F29)</f>
        <v>3234</v>
      </c>
      <c r="G30" s="20"/>
      <c r="H30" s="20"/>
    </row>
    <row r="32" spans="1:8" ht="18.3" x14ac:dyDescent="0.4">
      <c r="B32" s="19" t="s">
        <v>42</v>
      </c>
      <c r="C32" s="21">
        <f>F30/3.6</f>
        <v>898.33333333333326</v>
      </c>
    </row>
  </sheetData>
  <mergeCells count="4">
    <mergeCell ref="A3:F3"/>
    <mergeCell ref="B15:D15"/>
    <mergeCell ref="A20:F20"/>
    <mergeCell ref="B30:D30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FBD8F5E39BCD418D5141A181CF65C7" ma:contentTypeVersion="11" ma:contentTypeDescription="Create a new document." ma:contentTypeScope="" ma:versionID="03ea84896310f03da5137116c46c9d39">
  <xsd:schema xmlns:xsd="http://www.w3.org/2001/XMLSchema" xmlns:xs="http://www.w3.org/2001/XMLSchema" xmlns:p="http://schemas.microsoft.com/office/2006/metadata/properties" xmlns:ns3="2964092d-86ae-4ac6-9fe8-5e486cd0b926" targetNamespace="http://schemas.microsoft.com/office/2006/metadata/properties" ma:root="true" ma:fieldsID="79585be461026084aa7a249e2dfc44e9" ns3:_="">
    <xsd:import namespace="2964092d-86ae-4ac6-9fe8-5e486cd0b92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4092d-86ae-4ac6-9fe8-5e486cd0b92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2FBF1F-3A6E-410B-9041-B69DA3588F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64092d-86ae-4ac6-9fe8-5e486cd0b9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F39796-84DE-49ED-9323-2F31CDF48F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7855B5-3AC6-4CC3-97A7-6AC3615EF6F0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2964092d-86ae-4ac6-9fe8-5e486cd0b926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gp</vt:lpstr>
      <vt:lpstr>Sheet2</vt:lpstr>
      <vt:lpstr>Sheet4</vt:lpstr>
      <vt:lpstr>Sheet1</vt:lpstr>
      <vt:lpstr>Sheet3</vt:lpstr>
      <vt:lpstr>gi</vt:lpstr>
      <vt:lpstr>walkway and ladder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2025-09-17T08:24:42Z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0x01010071FBD8F5E39BCD418D5141A181CF65C7</vt:lpwstr>
  </property>
</Properties>
</file>